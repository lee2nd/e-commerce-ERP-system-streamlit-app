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HP\Dropbox\01.網拍資料夾\04.營收明細表\07.2026年新版報表\"/>
    </mc:Choice>
  </mc:AlternateContent>
  <xr:revisionPtr revIDLastSave="0" documentId="13_ncr:1_{39B838D9-56FA-4E45-8AAA-8CB94954E463}" xr6:coauthVersionLast="47" xr6:coauthVersionMax="47" xr10:uidLastSave="{00000000-0000-0000-0000-000000000000}"/>
  <bookViews>
    <workbookView xWindow="-108" yWindow="-108" windowWidth="23256" windowHeight="12456" firstSheet="1" activeTab="5" xr2:uid="{00000000-000D-0000-FFFF-FFFF00000000}"/>
  </bookViews>
  <sheets>
    <sheet name="Lists" sheetId="1" state="hidden" r:id="rId1"/>
    <sheet name="Instructions" sheetId="2" r:id="rId2"/>
    <sheet name="Employees" sheetId="3" r:id="rId3"/>
    <sheet name="Timesheet" sheetId="4" r:id="rId4"/>
    <sheet name="Purchases" sheetId="5" r:id="rId5"/>
    <sheet name="Payroll Lookup" sheetId="6" r:id="rId6"/>
    <sheet name="Payroll Summary" sheetId="7" r:id="rId7"/>
  </sheets>
  <definedNames>
    <definedName name="_xlnm._FilterDatabase" localSheetId="2" hidden="1">Employees!$A$1:$G$100</definedName>
    <definedName name="_xlnm._FilterDatabase" localSheetId="6" hidden="1">'Payroll Summary'!$A$1:$I$200</definedName>
    <definedName name="_xlnm._FilterDatabase" localSheetId="4" hidden="1">Purchases!$A$1:$J$500</definedName>
    <definedName name="_xlnm._FilterDatabase" localSheetId="3" hidden="1">Timesheet!$A$1:$K$500</definedName>
    <definedName name="DiscountPolicyList">Lists!$A$2:$A$4</definedName>
    <definedName name="EmployeeNames">Employees!$A$2:$A$100</definedName>
    <definedName name="MonthList">Lists!$B$2:$B$73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00" i="7" l="1"/>
  <c r="L200" i="7"/>
  <c r="K200" i="7"/>
  <c r="J200" i="7"/>
  <c r="G200" i="7"/>
  <c r="H200" i="7" s="1"/>
  <c r="F200" i="7"/>
  <c r="D200" i="7"/>
  <c r="C200" i="7"/>
  <c r="E200" i="7" s="1"/>
  <c r="I200" i="7" s="1"/>
  <c r="M199" i="7"/>
  <c r="L199" i="7"/>
  <c r="K199" i="7"/>
  <c r="J199" i="7"/>
  <c r="G199" i="7"/>
  <c r="H199" i="7" s="1"/>
  <c r="F199" i="7"/>
  <c r="D199" i="7"/>
  <c r="C199" i="7"/>
  <c r="E199" i="7" s="1"/>
  <c r="I199" i="7" s="1"/>
  <c r="M198" i="7"/>
  <c r="L198" i="7"/>
  <c r="K198" i="7"/>
  <c r="J198" i="7"/>
  <c r="G198" i="7"/>
  <c r="H198" i="7" s="1"/>
  <c r="F198" i="7"/>
  <c r="D198" i="7"/>
  <c r="C198" i="7"/>
  <c r="E198" i="7" s="1"/>
  <c r="I198" i="7" s="1"/>
  <c r="M197" i="7"/>
  <c r="L197" i="7"/>
  <c r="K197" i="7"/>
  <c r="J197" i="7"/>
  <c r="G197" i="7"/>
  <c r="H197" i="7" s="1"/>
  <c r="F197" i="7"/>
  <c r="D197" i="7"/>
  <c r="C197" i="7"/>
  <c r="E197" i="7" s="1"/>
  <c r="I197" i="7" s="1"/>
  <c r="M196" i="7"/>
  <c r="L196" i="7"/>
  <c r="K196" i="7"/>
  <c r="J196" i="7"/>
  <c r="G196" i="7"/>
  <c r="H196" i="7" s="1"/>
  <c r="F196" i="7"/>
  <c r="D196" i="7"/>
  <c r="C196" i="7"/>
  <c r="E196" i="7" s="1"/>
  <c r="I196" i="7" s="1"/>
  <c r="M195" i="7"/>
  <c r="L195" i="7"/>
  <c r="K195" i="7"/>
  <c r="J195" i="7"/>
  <c r="G195" i="7"/>
  <c r="H195" i="7" s="1"/>
  <c r="F195" i="7"/>
  <c r="D195" i="7"/>
  <c r="C195" i="7"/>
  <c r="E195" i="7" s="1"/>
  <c r="I195" i="7" s="1"/>
  <c r="M194" i="7"/>
  <c r="L194" i="7"/>
  <c r="K194" i="7"/>
  <c r="J194" i="7"/>
  <c r="G194" i="7"/>
  <c r="H194" i="7" s="1"/>
  <c r="F194" i="7"/>
  <c r="D194" i="7"/>
  <c r="C194" i="7"/>
  <c r="E194" i="7" s="1"/>
  <c r="I194" i="7" s="1"/>
  <c r="M193" i="7"/>
  <c r="L193" i="7"/>
  <c r="K193" i="7"/>
  <c r="J193" i="7"/>
  <c r="G193" i="7"/>
  <c r="H193" i="7" s="1"/>
  <c r="F193" i="7"/>
  <c r="D193" i="7"/>
  <c r="C193" i="7"/>
  <c r="E193" i="7" s="1"/>
  <c r="I193" i="7" s="1"/>
  <c r="M192" i="7"/>
  <c r="L192" i="7"/>
  <c r="K192" i="7"/>
  <c r="J192" i="7"/>
  <c r="G192" i="7"/>
  <c r="H192" i="7" s="1"/>
  <c r="F192" i="7"/>
  <c r="D192" i="7"/>
  <c r="C192" i="7"/>
  <c r="E192" i="7" s="1"/>
  <c r="I192" i="7" s="1"/>
  <c r="M191" i="7"/>
  <c r="L191" i="7"/>
  <c r="K191" i="7"/>
  <c r="J191" i="7"/>
  <c r="G191" i="7"/>
  <c r="H191" i="7" s="1"/>
  <c r="F191" i="7"/>
  <c r="D191" i="7"/>
  <c r="C191" i="7"/>
  <c r="E191" i="7" s="1"/>
  <c r="I191" i="7" s="1"/>
  <c r="M190" i="7"/>
  <c r="L190" i="7"/>
  <c r="K190" i="7"/>
  <c r="J190" i="7"/>
  <c r="G190" i="7"/>
  <c r="H190" i="7" s="1"/>
  <c r="F190" i="7"/>
  <c r="D190" i="7"/>
  <c r="C190" i="7"/>
  <c r="E190" i="7" s="1"/>
  <c r="I190" i="7" s="1"/>
  <c r="M189" i="7"/>
  <c r="L189" i="7"/>
  <c r="K189" i="7"/>
  <c r="J189" i="7"/>
  <c r="G189" i="7"/>
  <c r="H189" i="7" s="1"/>
  <c r="F189" i="7"/>
  <c r="D189" i="7"/>
  <c r="C189" i="7"/>
  <c r="E189" i="7" s="1"/>
  <c r="I189" i="7" s="1"/>
  <c r="M188" i="7"/>
  <c r="L188" i="7"/>
  <c r="K188" i="7"/>
  <c r="J188" i="7"/>
  <c r="G188" i="7"/>
  <c r="H188" i="7" s="1"/>
  <c r="F188" i="7"/>
  <c r="D188" i="7"/>
  <c r="C188" i="7"/>
  <c r="E188" i="7" s="1"/>
  <c r="I188" i="7" s="1"/>
  <c r="M187" i="7"/>
  <c r="L187" i="7"/>
  <c r="K187" i="7"/>
  <c r="J187" i="7"/>
  <c r="G187" i="7"/>
  <c r="H187" i="7" s="1"/>
  <c r="F187" i="7"/>
  <c r="D187" i="7"/>
  <c r="C187" i="7"/>
  <c r="E187" i="7" s="1"/>
  <c r="I187" i="7" s="1"/>
  <c r="M186" i="7"/>
  <c r="L186" i="7"/>
  <c r="K186" i="7"/>
  <c r="J186" i="7"/>
  <c r="G186" i="7"/>
  <c r="H186" i="7" s="1"/>
  <c r="F186" i="7"/>
  <c r="D186" i="7"/>
  <c r="C186" i="7"/>
  <c r="E186" i="7" s="1"/>
  <c r="I186" i="7" s="1"/>
  <c r="M185" i="7"/>
  <c r="L185" i="7"/>
  <c r="K185" i="7"/>
  <c r="J185" i="7"/>
  <c r="G185" i="7"/>
  <c r="H185" i="7" s="1"/>
  <c r="F185" i="7"/>
  <c r="D185" i="7"/>
  <c r="C185" i="7"/>
  <c r="E185" i="7" s="1"/>
  <c r="I185" i="7" s="1"/>
  <c r="M184" i="7"/>
  <c r="L184" i="7"/>
  <c r="K184" i="7"/>
  <c r="J184" i="7"/>
  <c r="G184" i="7"/>
  <c r="H184" i="7" s="1"/>
  <c r="F184" i="7"/>
  <c r="D184" i="7"/>
  <c r="C184" i="7"/>
  <c r="E184" i="7" s="1"/>
  <c r="I184" i="7" s="1"/>
  <c r="M183" i="7"/>
  <c r="L183" i="7"/>
  <c r="K183" i="7"/>
  <c r="J183" i="7"/>
  <c r="G183" i="7"/>
  <c r="H183" i="7" s="1"/>
  <c r="F183" i="7"/>
  <c r="D183" i="7"/>
  <c r="C183" i="7"/>
  <c r="E183" i="7" s="1"/>
  <c r="I183" i="7" s="1"/>
  <c r="M182" i="7"/>
  <c r="L182" i="7"/>
  <c r="K182" i="7"/>
  <c r="J182" i="7"/>
  <c r="G182" i="7"/>
  <c r="H182" i="7" s="1"/>
  <c r="F182" i="7"/>
  <c r="D182" i="7"/>
  <c r="C182" i="7"/>
  <c r="E182" i="7" s="1"/>
  <c r="I182" i="7" s="1"/>
  <c r="M181" i="7"/>
  <c r="L181" i="7"/>
  <c r="K181" i="7"/>
  <c r="J181" i="7"/>
  <c r="G181" i="7"/>
  <c r="H181" i="7" s="1"/>
  <c r="F181" i="7"/>
  <c r="D181" i="7"/>
  <c r="C181" i="7"/>
  <c r="E181" i="7" s="1"/>
  <c r="I181" i="7" s="1"/>
  <c r="M180" i="7"/>
  <c r="L180" i="7"/>
  <c r="K180" i="7"/>
  <c r="J180" i="7"/>
  <c r="G180" i="7"/>
  <c r="H180" i="7" s="1"/>
  <c r="F180" i="7"/>
  <c r="D180" i="7"/>
  <c r="C180" i="7"/>
  <c r="E180" i="7" s="1"/>
  <c r="I180" i="7" s="1"/>
  <c r="M179" i="7"/>
  <c r="L179" i="7"/>
  <c r="K179" i="7"/>
  <c r="J179" i="7"/>
  <c r="G179" i="7"/>
  <c r="H179" i="7" s="1"/>
  <c r="F179" i="7"/>
  <c r="D179" i="7"/>
  <c r="C179" i="7"/>
  <c r="E179" i="7" s="1"/>
  <c r="I179" i="7" s="1"/>
  <c r="M178" i="7"/>
  <c r="L178" i="7"/>
  <c r="K178" i="7"/>
  <c r="J178" i="7"/>
  <c r="G178" i="7"/>
  <c r="H178" i="7" s="1"/>
  <c r="F178" i="7"/>
  <c r="D178" i="7"/>
  <c r="C178" i="7"/>
  <c r="E178" i="7" s="1"/>
  <c r="I178" i="7" s="1"/>
  <c r="M177" i="7"/>
  <c r="L177" i="7"/>
  <c r="K177" i="7"/>
  <c r="J177" i="7"/>
  <c r="G177" i="7"/>
  <c r="H177" i="7" s="1"/>
  <c r="F177" i="7"/>
  <c r="D177" i="7"/>
  <c r="C177" i="7"/>
  <c r="E177" i="7" s="1"/>
  <c r="I177" i="7" s="1"/>
  <c r="M176" i="7"/>
  <c r="L176" i="7"/>
  <c r="K176" i="7"/>
  <c r="J176" i="7"/>
  <c r="G176" i="7"/>
  <c r="H176" i="7" s="1"/>
  <c r="F176" i="7"/>
  <c r="D176" i="7"/>
  <c r="C176" i="7"/>
  <c r="E176" i="7" s="1"/>
  <c r="I176" i="7" s="1"/>
  <c r="M175" i="7"/>
  <c r="L175" i="7"/>
  <c r="K175" i="7"/>
  <c r="J175" i="7"/>
  <c r="G175" i="7"/>
  <c r="H175" i="7" s="1"/>
  <c r="F175" i="7"/>
  <c r="D175" i="7"/>
  <c r="C175" i="7"/>
  <c r="E175" i="7" s="1"/>
  <c r="I175" i="7" s="1"/>
  <c r="M174" i="7"/>
  <c r="L174" i="7"/>
  <c r="K174" i="7"/>
  <c r="J174" i="7"/>
  <c r="G174" i="7"/>
  <c r="H174" i="7" s="1"/>
  <c r="F174" i="7"/>
  <c r="D174" i="7"/>
  <c r="C174" i="7"/>
  <c r="E174" i="7" s="1"/>
  <c r="I174" i="7" s="1"/>
  <c r="M173" i="7"/>
  <c r="L173" i="7"/>
  <c r="K173" i="7"/>
  <c r="J173" i="7"/>
  <c r="G173" i="7"/>
  <c r="H173" i="7" s="1"/>
  <c r="F173" i="7"/>
  <c r="D173" i="7"/>
  <c r="C173" i="7"/>
  <c r="E173" i="7" s="1"/>
  <c r="I173" i="7" s="1"/>
  <c r="M172" i="7"/>
  <c r="L172" i="7"/>
  <c r="K172" i="7"/>
  <c r="J172" i="7"/>
  <c r="G172" i="7"/>
  <c r="H172" i="7" s="1"/>
  <c r="F172" i="7"/>
  <c r="D172" i="7"/>
  <c r="C172" i="7"/>
  <c r="E172" i="7" s="1"/>
  <c r="I172" i="7" s="1"/>
  <c r="M171" i="7"/>
  <c r="L171" i="7"/>
  <c r="K171" i="7"/>
  <c r="J171" i="7"/>
  <c r="G171" i="7"/>
  <c r="H171" i="7" s="1"/>
  <c r="F171" i="7"/>
  <c r="D171" i="7"/>
  <c r="C171" i="7"/>
  <c r="E171" i="7" s="1"/>
  <c r="I171" i="7" s="1"/>
  <c r="M170" i="7"/>
  <c r="L170" i="7"/>
  <c r="K170" i="7"/>
  <c r="J170" i="7"/>
  <c r="G170" i="7"/>
  <c r="H170" i="7" s="1"/>
  <c r="F170" i="7"/>
  <c r="D170" i="7"/>
  <c r="C170" i="7"/>
  <c r="E170" i="7" s="1"/>
  <c r="I170" i="7" s="1"/>
  <c r="M169" i="7"/>
  <c r="L169" i="7"/>
  <c r="K169" i="7"/>
  <c r="J169" i="7"/>
  <c r="G169" i="7"/>
  <c r="H169" i="7" s="1"/>
  <c r="F169" i="7"/>
  <c r="D169" i="7"/>
  <c r="C169" i="7"/>
  <c r="E169" i="7" s="1"/>
  <c r="I169" i="7" s="1"/>
  <c r="M168" i="7"/>
  <c r="L168" i="7"/>
  <c r="K168" i="7"/>
  <c r="J168" i="7"/>
  <c r="G168" i="7"/>
  <c r="H168" i="7" s="1"/>
  <c r="F168" i="7"/>
  <c r="D168" i="7"/>
  <c r="C168" i="7"/>
  <c r="E168" i="7" s="1"/>
  <c r="I168" i="7" s="1"/>
  <c r="M167" i="7"/>
  <c r="L167" i="7"/>
  <c r="K167" i="7"/>
  <c r="J167" i="7"/>
  <c r="G167" i="7"/>
  <c r="H167" i="7" s="1"/>
  <c r="F167" i="7"/>
  <c r="D167" i="7"/>
  <c r="C167" i="7"/>
  <c r="E167" i="7" s="1"/>
  <c r="I167" i="7" s="1"/>
  <c r="M166" i="7"/>
  <c r="L166" i="7"/>
  <c r="K166" i="7"/>
  <c r="J166" i="7"/>
  <c r="G166" i="7"/>
  <c r="H166" i="7" s="1"/>
  <c r="F166" i="7"/>
  <c r="D166" i="7"/>
  <c r="C166" i="7"/>
  <c r="E166" i="7" s="1"/>
  <c r="I166" i="7" s="1"/>
  <c r="M165" i="7"/>
  <c r="L165" i="7"/>
  <c r="K165" i="7"/>
  <c r="J165" i="7"/>
  <c r="G165" i="7"/>
  <c r="H165" i="7" s="1"/>
  <c r="F165" i="7"/>
  <c r="D165" i="7"/>
  <c r="C165" i="7"/>
  <c r="E165" i="7" s="1"/>
  <c r="I165" i="7" s="1"/>
  <c r="M164" i="7"/>
  <c r="L164" i="7"/>
  <c r="K164" i="7"/>
  <c r="J164" i="7"/>
  <c r="G164" i="7"/>
  <c r="H164" i="7" s="1"/>
  <c r="F164" i="7"/>
  <c r="D164" i="7"/>
  <c r="C164" i="7"/>
  <c r="E164" i="7" s="1"/>
  <c r="I164" i="7" s="1"/>
  <c r="M163" i="7"/>
  <c r="L163" i="7"/>
  <c r="K163" i="7"/>
  <c r="J163" i="7"/>
  <c r="G163" i="7"/>
  <c r="H163" i="7" s="1"/>
  <c r="F163" i="7"/>
  <c r="D163" i="7"/>
  <c r="C163" i="7"/>
  <c r="E163" i="7" s="1"/>
  <c r="I163" i="7" s="1"/>
  <c r="M162" i="7"/>
  <c r="L162" i="7"/>
  <c r="K162" i="7"/>
  <c r="J162" i="7"/>
  <c r="G162" i="7"/>
  <c r="H162" i="7" s="1"/>
  <c r="F162" i="7"/>
  <c r="D162" i="7"/>
  <c r="C162" i="7"/>
  <c r="E162" i="7" s="1"/>
  <c r="I162" i="7" s="1"/>
  <c r="M161" i="7"/>
  <c r="L161" i="7"/>
  <c r="K161" i="7"/>
  <c r="J161" i="7"/>
  <c r="G161" i="7"/>
  <c r="H161" i="7" s="1"/>
  <c r="F161" i="7"/>
  <c r="D161" i="7"/>
  <c r="C161" i="7"/>
  <c r="E161" i="7" s="1"/>
  <c r="I161" i="7" s="1"/>
  <c r="M160" i="7"/>
  <c r="L160" i="7"/>
  <c r="K160" i="7"/>
  <c r="J160" i="7"/>
  <c r="G160" i="7"/>
  <c r="H160" i="7" s="1"/>
  <c r="F160" i="7"/>
  <c r="D160" i="7"/>
  <c r="C160" i="7"/>
  <c r="E160" i="7" s="1"/>
  <c r="I160" i="7" s="1"/>
  <c r="M159" i="7"/>
  <c r="L159" i="7"/>
  <c r="K159" i="7"/>
  <c r="J159" i="7"/>
  <c r="G159" i="7"/>
  <c r="H159" i="7" s="1"/>
  <c r="F159" i="7"/>
  <c r="D159" i="7"/>
  <c r="C159" i="7"/>
  <c r="E159" i="7" s="1"/>
  <c r="I159" i="7" s="1"/>
  <c r="M158" i="7"/>
  <c r="L158" i="7"/>
  <c r="K158" i="7"/>
  <c r="J158" i="7"/>
  <c r="G158" i="7"/>
  <c r="H158" i="7" s="1"/>
  <c r="F158" i="7"/>
  <c r="D158" i="7"/>
  <c r="C158" i="7"/>
  <c r="E158" i="7" s="1"/>
  <c r="I158" i="7" s="1"/>
  <c r="M157" i="7"/>
  <c r="L157" i="7"/>
  <c r="K157" i="7"/>
  <c r="J157" i="7"/>
  <c r="G157" i="7"/>
  <c r="H157" i="7" s="1"/>
  <c r="F157" i="7"/>
  <c r="D157" i="7"/>
  <c r="C157" i="7"/>
  <c r="E157" i="7" s="1"/>
  <c r="I157" i="7" s="1"/>
  <c r="M156" i="7"/>
  <c r="L156" i="7"/>
  <c r="K156" i="7"/>
  <c r="J156" i="7"/>
  <c r="G156" i="7"/>
  <c r="H156" i="7" s="1"/>
  <c r="F156" i="7"/>
  <c r="D156" i="7"/>
  <c r="C156" i="7"/>
  <c r="E156" i="7" s="1"/>
  <c r="I156" i="7" s="1"/>
  <c r="M155" i="7"/>
  <c r="L155" i="7"/>
  <c r="K155" i="7"/>
  <c r="J155" i="7"/>
  <c r="G155" i="7"/>
  <c r="H155" i="7" s="1"/>
  <c r="F155" i="7"/>
  <c r="D155" i="7"/>
  <c r="C155" i="7"/>
  <c r="E155" i="7" s="1"/>
  <c r="I155" i="7" s="1"/>
  <c r="M154" i="7"/>
  <c r="L154" i="7"/>
  <c r="K154" i="7"/>
  <c r="J154" i="7"/>
  <c r="G154" i="7"/>
  <c r="H154" i="7" s="1"/>
  <c r="F154" i="7"/>
  <c r="D154" i="7"/>
  <c r="C154" i="7"/>
  <c r="E154" i="7" s="1"/>
  <c r="I154" i="7" s="1"/>
  <c r="M153" i="7"/>
  <c r="L153" i="7"/>
  <c r="K153" i="7"/>
  <c r="J153" i="7"/>
  <c r="G153" i="7"/>
  <c r="H153" i="7" s="1"/>
  <c r="F153" i="7"/>
  <c r="D153" i="7"/>
  <c r="C153" i="7"/>
  <c r="E153" i="7" s="1"/>
  <c r="I153" i="7" s="1"/>
  <c r="M152" i="7"/>
  <c r="L152" i="7"/>
  <c r="K152" i="7"/>
  <c r="J152" i="7"/>
  <c r="G152" i="7"/>
  <c r="H152" i="7" s="1"/>
  <c r="F152" i="7"/>
  <c r="D152" i="7"/>
  <c r="C152" i="7"/>
  <c r="E152" i="7" s="1"/>
  <c r="I152" i="7" s="1"/>
  <c r="M151" i="7"/>
  <c r="L151" i="7"/>
  <c r="K151" i="7"/>
  <c r="J151" i="7"/>
  <c r="G151" i="7"/>
  <c r="H151" i="7" s="1"/>
  <c r="F151" i="7"/>
  <c r="D151" i="7"/>
  <c r="C151" i="7"/>
  <c r="E151" i="7" s="1"/>
  <c r="I151" i="7" s="1"/>
  <c r="M150" i="7"/>
  <c r="L150" i="7"/>
  <c r="K150" i="7"/>
  <c r="J150" i="7"/>
  <c r="G150" i="7"/>
  <c r="H150" i="7" s="1"/>
  <c r="F150" i="7"/>
  <c r="D150" i="7"/>
  <c r="C150" i="7"/>
  <c r="E150" i="7" s="1"/>
  <c r="I150" i="7" s="1"/>
  <c r="M149" i="7"/>
  <c r="L149" i="7"/>
  <c r="K149" i="7"/>
  <c r="J149" i="7"/>
  <c r="G149" i="7"/>
  <c r="H149" i="7" s="1"/>
  <c r="F149" i="7"/>
  <c r="D149" i="7"/>
  <c r="C149" i="7"/>
  <c r="E149" i="7" s="1"/>
  <c r="I149" i="7" s="1"/>
  <c r="M148" i="7"/>
  <c r="L148" i="7"/>
  <c r="K148" i="7"/>
  <c r="J148" i="7"/>
  <c r="G148" i="7"/>
  <c r="H148" i="7" s="1"/>
  <c r="F148" i="7"/>
  <c r="D148" i="7"/>
  <c r="C148" i="7"/>
  <c r="E148" i="7" s="1"/>
  <c r="I148" i="7" s="1"/>
  <c r="M147" i="7"/>
  <c r="L147" i="7"/>
  <c r="K147" i="7"/>
  <c r="J147" i="7"/>
  <c r="G147" i="7"/>
  <c r="H147" i="7" s="1"/>
  <c r="F147" i="7"/>
  <c r="D147" i="7"/>
  <c r="C147" i="7"/>
  <c r="E147" i="7" s="1"/>
  <c r="I147" i="7" s="1"/>
  <c r="M146" i="7"/>
  <c r="L146" i="7"/>
  <c r="K146" i="7"/>
  <c r="J146" i="7"/>
  <c r="G146" i="7"/>
  <c r="H146" i="7" s="1"/>
  <c r="F146" i="7"/>
  <c r="D146" i="7"/>
  <c r="C146" i="7"/>
  <c r="E146" i="7" s="1"/>
  <c r="I146" i="7" s="1"/>
  <c r="M145" i="7"/>
  <c r="L145" i="7"/>
  <c r="K145" i="7"/>
  <c r="J145" i="7"/>
  <c r="G145" i="7"/>
  <c r="H145" i="7" s="1"/>
  <c r="F145" i="7"/>
  <c r="D145" i="7"/>
  <c r="C145" i="7"/>
  <c r="E145" i="7" s="1"/>
  <c r="I145" i="7" s="1"/>
  <c r="M144" i="7"/>
  <c r="L144" i="7"/>
  <c r="K144" i="7"/>
  <c r="J144" i="7"/>
  <c r="G144" i="7"/>
  <c r="H144" i="7" s="1"/>
  <c r="F144" i="7"/>
  <c r="D144" i="7"/>
  <c r="C144" i="7"/>
  <c r="E144" i="7" s="1"/>
  <c r="I144" i="7" s="1"/>
  <c r="M143" i="7"/>
  <c r="L143" i="7"/>
  <c r="K143" i="7"/>
  <c r="J143" i="7"/>
  <c r="G143" i="7"/>
  <c r="H143" i="7" s="1"/>
  <c r="F143" i="7"/>
  <c r="D143" i="7"/>
  <c r="C143" i="7"/>
  <c r="E143" i="7" s="1"/>
  <c r="I143" i="7" s="1"/>
  <c r="M142" i="7"/>
  <c r="L142" i="7"/>
  <c r="K142" i="7"/>
  <c r="J142" i="7"/>
  <c r="G142" i="7"/>
  <c r="H142" i="7" s="1"/>
  <c r="F142" i="7"/>
  <c r="D142" i="7"/>
  <c r="C142" i="7"/>
  <c r="E142" i="7" s="1"/>
  <c r="I142" i="7" s="1"/>
  <c r="M141" i="7"/>
  <c r="L141" i="7"/>
  <c r="K141" i="7"/>
  <c r="J141" i="7"/>
  <c r="G141" i="7"/>
  <c r="H141" i="7" s="1"/>
  <c r="F141" i="7"/>
  <c r="D141" i="7"/>
  <c r="C141" i="7"/>
  <c r="E141" i="7" s="1"/>
  <c r="I141" i="7" s="1"/>
  <c r="M140" i="7"/>
  <c r="L140" i="7"/>
  <c r="K140" i="7"/>
  <c r="J140" i="7"/>
  <c r="G140" i="7"/>
  <c r="H140" i="7" s="1"/>
  <c r="F140" i="7"/>
  <c r="D140" i="7"/>
  <c r="C140" i="7"/>
  <c r="E140" i="7" s="1"/>
  <c r="I140" i="7" s="1"/>
  <c r="M139" i="7"/>
  <c r="L139" i="7"/>
  <c r="K139" i="7"/>
  <c r="J139" i="7"/>
  <c r="G139" i="7"/>
  <c r="H139" i="7" s="1"/>
  <c r="F139" i="7"/>
  <c r="D139" i="7"/>
  <c r="C139" i="7"/>
  <c r="E139" i="7" s="1"/>
  <c r="I139" i="7" s="1"/>
  <c r="M138" i="7"/>
  <c r="L138" i="7"/>
  <c r="K138" i="7"/>
  <c r="J138" i="7"/>
  <c r="G138" i="7"/>
  <c r="H138" i="7" s="1"/>
  <c r="F138" i="7"/>
  <c r="D138" i="7"/>
  <c r="C138" i="7"/>
  <c r="E138" i="7" s="1"/>
  <c r="I138" i="7" s="1"/>
  <c r="M137" i="7"/>
  <c r="L137" i="7"/>
  <c r="K137" i="7"/>
  <c r="J137" i="7"/>
  <c r="G137" i="7"/>
  <c r="H137" i="7" s="1"/>
  <c r="F137" i="7"/>
  <c r="D137" i="7"/>
  <c r="C137" i="7"/>
  <c r="E137" i="7" s="1"/>
  <c r="I137" i="7" s="1"/>
  <c r="M136" i="7"/>
  <c r="L136" i="7"/>
  <c r="K136" i="7"/>
  <c r="J136" i="7"/>
  <c r="G136" i="7"/>
  <c r="H136" i="7" s="1"/>
  <c r="F136" i="7"/>
  <c r="D136" i="7"/>
  <c r="C136" i="7"/>
  <c r="E136" i="7" s="1"/>
  <c r="I136" i="7" s="1"/>
  <c r="M135" i="7"/>
  <c r="L135" i="7"/>
  <c r="K135" i="7"/>
  <c r="J135" i="7"/>
  <c r="G135" i="7"/>
  <c r="H135" i="7" s="1"/>
  <c r="F135" i="7"/>
  <c r="D135" i="7"/>
  <c r="C135" i="7"/>
  <c r="E135" i="7" s="1"/>
  <c r="I135" i="7" s="1"/>
  <c r="M134" i="7"/>
  <c r="L134" i="7"/>
  <c r="K134" i="7"/>
  <c r="J134" i="7"/>
  <c r="G134" i="7"/>
  <c r="H134" i="7" s="1"/>
  <c r="F134" i="7"/>
  <c r="D134" i="7"/>
  <c r="C134" i="7"/>
  <c r="E134" i="7" s="1"/>
  <c r="I134" i="7" s="1"/>
  <c r="M133" i="7"/>
  <c r="L133" i="7"/>
  <c r="K133" i="7"/>
  <c r="J133" i="7"/>
  <c r="G133" i="7"/>
  <c r="H133" i="7" s="1"/>
  <c r="F133" i="7"/>
  <c r="D133" i="7"/>
  <c r="C133" i="7"/>
  <c r="E133" i="7" s="1"/>
  <c r="I133" i="7" s="1"/>
  <c r="M132" i="7"/>
  <c r="L132" i="7"/>
  <c r="K132" i="7"/>
  <c r="J132" i="7"/>
  <c r="G132" i="7"/>
  <c r="H132" i="7" s="1"/>
  <c r="F132" i="7"/>
  <c r="D132" i="7"/>
  <c r="C132" i="7"/>
  <c r="E132" i="7" s="1"/>
  <c r="I132" i="7" s="1"/>
  <c r="M131" i="7"/>
  <c r="L131" i="7"/>
  <c r="K131" i="7"/>
  <c r="J131" i="7"/>
  <c r="G131" i="7"/>
  <c r="H131" i="7" s="1"/>
  <c r="F131" i="7"/>
  <c r="D131" i="7"/>
  <c r="C131" i="7"/>
  <c r="E131" i="7" s="1"/>
  <c r="I131" i="7" s="1"/>
  <c r="M130" i="7"/>
  <c r="L130" i="7"/>
  <c r="K130" i="7"/>
  <c r="J130" i="7"/>
  <c r="G130" i="7"/>
  <c r="H130" i="7" s="1"/>
  <c r="F130" i="7"/>
  <c r="D130" i="7"/>
  <c r="C130" i="7"/>
  <c r="E130" i="7" s="1"/>
  <c r="I130" i="7" s="1"/>
  <c r="M129" i="7"/>
  <c r="L129" i="7"/>
  <c r="K129" i="7"/>
  <c r="J129" i="7"/>
  <c r="G129" i="7"/>
  <c r="H129" i="7" s="1"/>
  <c r="F129" i="7"/>
  <c r="D129" i="7"/>
  <c r="C129" i="7"/>
  <c r="E129" i="7" s="1"/>
  <c r="I129" i="7" s="1"/>
  <c r="M128" i="7"/>
  <c r="L128" i="7"/>
  <c r="K128" i="7"/>
  <c r="J128" i="7"/>
  <c r="G128" i="7"/>
  <c r="H128" i="7" s="1"/>
  <c r="F128" i="7"/>
  <c r="D128" i="7"/>
  <c r="C128" i="7"/>
  <c r="E128" i="7" s="1"/>
  <c r="I128" i="7" s="1"/>
  <c r="M127" i="7"/>
  <c r="L127" i="7"/>
  <c r="K127" i="7"/>
  <c r="J127" i="7"/>
  <c r="G127" i="7"/>
  <c r="H127" i="7" s="1"/>
  <c r="F127" i="7"/>
  <c r="D127" i="7"/>
  <c r="C127" i="7"/>
  <c r="E127" i="7" s="1"/>
  <c r="I127" i="7" s="1"/>
  <c r="M126" i="7"/>
  <c r="L126" i="7"/>
  <c r="K126" i="7"/>
  <c r="J126" i="7"/>
  <c r="G126" i="7"/>
  <c r="H126" i="7" s="1"/>
  <c r="F126" i="7"/>
  <c r="D126" i="7"/>
  <c r="C126" i="7"/>
  <c r="E126" i="7" s="1"/>
  <c r="I126" i="7" s="1"/>
  <c r="M125" i="7"/>
  <c r="L125" i="7"/>
  <c r="K125" i="7"/>
  <c r="J125" i="7"/>
  <c r="G125" i="7"/>
  <c r="H125" i="7" s="1"/>
  <c r="F125" i="7"/>
  <c r="D125" i="7"/>
  <c r="C125" i="7"/>
  <c r="E125" i="7" s="1"/>
  <c r="I125" i="7" s="1"/>
  <c r="M124" i="7"/>
  <c r="L124" i="7"/>
  <c r="K124" i="7"/>
  <c r="J124" i="7"/>
  <c r="G124" i="7"/>
  <c r="H124" i="7" s="1"/>
  <c r="F124" i="7"/>
  <c r="D124" i="7"/>
  <c r="C124" i="7"/>
  <c r="E124" i="7" s="1"/>
  <c r="I124" i="7" s="1"/>
  <c r="M123" i="7"/>
  <c r="L123" i="7"/>
  <c r="K123" i="7"/>
  <c r="J123" i="7"/>
  <c r="G123" i="7"/>
  <c r="H123" i="7" s="1"/>
  <c r="F123" i="7"/>
  <c r="D123" i="7"/>
  <c r="C123" i="7"/>
  <c r="E123" i="7" s="1"/>
  <c r="I123" i="7" s="1"/>
  <c r="M122" i="7"/>
  <c r="L122" i="7"/>
  <c r="K122" i="7"/>
  <c r="J122" i="7"/>
  <c r="G122" i="7"/>
  <c r="H122" i="7" s="1"/>
  <c r="F122" i="7"/>
  <c r="D122" i="7"/>
  <c r="C122" i="7"/>
  <c r="E122" i="7" s="1"/>
  <c r="I122" i="7" s="1"/>
  <c r="M121" i="7"/>
  <c r="L121" i="7"/>
  <c r="K121" i="7"/>
  <c r="J121" i="7"/>
  <c r="G121" i="7"/>
  <c r="H121" i="7" s="1"/>
  <c r="F121" i="7"/>
  <c r="D121" i="7"/>
  <c r="C121" i="7"/>
  <c r="E121" i="7" s="1"/>
  <c r="I121" i="7" s="1"/>
  <c r="M120" i="7"/>
  <c r="L120" i="7"/>
  <c r="K120" i="7"/>
  <c r="J120" i="7"/>
  <c r="G120" i="7"/>
  <c r="H120" i="7" s="1"/>
  <c r="F120" i="7"/>
  <c r="D120" i="7"/>
  <c r="C120" i="7"/>
  <c r="E120" i="7" s="1"/>
  <c r="I120" i="7" s="1"/>
  <c r="M119" i="7"/>
  <c r="L119" i="7"/>
  <c r="K119" i="7"/>
  <c r="J119" i="7"/>
  <c r="G119" i="7"/>
  <c r="H119" i="7" s="1"/>
  <c r="F119" i="7"/>
  <c r="D119" i="7"/>
  <c r="C119" i="7"/>
  <c r="E119" i="7" s="1"/>
  <c r="I119" i="7" s="1"/>
  <c r="M118" i="7"/>
  <c r="L118" i="7"/>
  <c r="K118" i="7"/>
  <c r="J118" i="7"/>
  <c r="G118" i="7"/>
  <c r="H118" i="7" s="1"/>
  <c r="F118" i="7"/>
  <c r="D118" i="7"/>
  <c r="C118" i="7"/>
  <c r="E118" i="7" s="1"/>
  <c r="I118" i="7" s="1"/>
  <c r="M117" i="7"/>
  <c r="L117" i="7"/>
  <c r="K117" i="7"/>
  <c r="J117" i="7"/>
  <c r="G117" i="7"/>
  <c r="H117" i="7" s="1"/>
  <c r="F117" i="7"/>
  <c r="D117" i="7"/>
  <c r="C117" i="7"/>
  <c r="E117" i="7" s="1"/>
  <c r="I117" i="7" s="1"/>
  <c r="M116" i="7"/>
  <c r="L116" i="7"/>
  <c r="K116" i="7"/>
  <c r="J116" i="7"/>
  <c r="G116" i="7"/>
  <c r="H116" i="7" s="1"/>
  <c r="F116" i="7"/>
  <c r="D116" i="7"/>
  <c r="C116" i="7"/>
  <c r="E116" i="7" s="1"/>
  <c r="I116" i="7" s="1"/>
  <c r="M115" i="7"/>
  <c r="L115" i="7"/>
  <c r="K115" i="7"/>
  <c r="J115" i="7"/>
  <c r="G115" i="7"/>
  <c r="H115" i="7" s="1"/>
  <c r="F115" i="7"/>
  <c r="D115" i="7"/>
  <c r="C115" i="7"/>
  <c r="E115" i="7" s="1"/>
  <c r="I115" i="7" s="1"/>
  <c r="M114" i="7"/>
  <c r="L114" i="7"/>
  <c r="K114" i="7"/>
  <c r="J114" i="7"/>
  <c r="G114" i="7"/>
  <c r="H114" i="7" s="1"/>
  <c r="F114" i="7"/>
  <c r="D114" i="7"/>
  <c r="C114" i="7"/>
  <c r="E114" i="7" s="1"/>
  <c r="I114" i="7" s="1"/>
  <c r="M113" i="7"/>
  <c r="L113" i="7"/>
  <c r="K113" i="7"/>
  <c r="J113" i="7"/>
  <c r="G113" i="7"/>
  <c r="H113" i="7" s="1"/>
  <c r="F113" i="7"/>
  <c r="D113" i="7"/>
  <c r="C113" i="7"/>
  <c r="E113" i="7" s="1"/>
  <c r="I113" i="7" s="1"/>
  <c r="M112" i="7"/>
  <c r="L112" i="7"/>
  <c r="K112" i="7"/>
  <c r="J112" i="7"/>
  <c r="G112" i="7"/>
  <c r="H112" i="7" s="1"/>
  <c r="F112" i="7"/>
  <c r="D112" i="7"/>
  <c r="C112" i="7"/>
  <c r="E112" i="7" s="1"/>
  <c r="I112" i="7" s="1"/>
  <c r="M111" i="7"/>
  <c r="L111" i="7"/>
  <c r="K111" i="7"/>
  <c r="J111" i="7"/>
  <c r="G111" i="7"/>
  <c r="H111" i="7" s="1"/>
  <c r="F111" i="7"/>
  <c r="D111" i="7"/>
  <c r="C111" i="7"/>
  <c r="E111" i="7" s="1"/>
  <c r="I111" i="7" s="1"/>
  <c r="M110" i="7"/>
  <c r="L110" i="7"/>
  <c r="K110" i="7"/>
  <c r="J110" i="7"/>
  <c r="G110" i="7"/>
  <c r="H110" i="7" s="1"/>
  <c r="F110" i="7"/>
  <c r="D110" i="7"/>
  <c r="C110" i="7"/>
  <c r="E110" i="7" s="1"/>
  <c r="I110" i="7" s="1"/>
  <c r="M109" i="7"/>
  <c r="L109" i="7"/>
  <c r="K109" i="7"/>
  <c r="J109" i="7"/>
  <c r="G109" i="7"/>
  <c r="H109" i="7" s="1"/>
  <c r="F109" i="7"/>
  <c r="D109" i="7"/>
  <c r="C109" i="7"/>
  <c r="E109" i="7" s="1"/>
  <c r="I109" i="7" s="1"/>
  <c r="M108" i="7"/>
  <c r="L108" i="7"/>
  <c r="K108" i="7"/>
  <c r="J108" i="7"/>
  <c r="G108" i="7"/>
  <c r="H108" i="7" s="1"/>
  <c r="F108" i="7"/>
  <c r="D108" i="7"/>
  <c r="C108" i="7"/>
  <c r="E108" i="7" s="1"/>
  <c r="I108" i="7" s="1"/>
  <c r="M107" i="7"/>
  <c r="L107" i="7"/>
  <c r="K107" i="7"/>
  <c r="J107" i="7"/>
  <c r="G107" i="7"/>
  <c r="H107" i="7" s="1"/>
  <c r="F107" i="7"/>
  <c r="D107" i="7"/>
  <c r="C107" i="7"/>
  <c r="E107" i="7" s="1"/>
  <c r="I107" i="7" s="1"/>
  <c r="M106" i="7"/>
  <c r="L106" i="7"/>
  <c r="K106" i="7"/>
  <c r="J106" i="7"/>
  <c r="G106" i="7"/>
  <c r="H106" i="7" s="1"/>
  <c r="F106" i="7"/>
  <c r="D106" i="7"/>
  <c r="C106" i="7"/>
  <c r="E106" i="7" s="1"/>
  <c r="I106" i="7" s="1"/>
  <c r="M105" i="7"/>
  <c r="L105" i="7"/>
  <c r="K105" i="7"/>
  <c r="J105" i="7"/>
  <c r="G105" i="7"/>
  <c r="H105" i="7" s="1"/>
  <c r="F105" i="7"/>
  <c r="D105" i="7"/>
  <c r="C105" i="7"/>
  <c r="E105" i="7" s="1"/>
  <c r="I105" i="7" s="1"/>
  <c r="M104" i="7"/>
  <c r="L104" i="7"/>
  <c r="K104" i="7"/>
  <c r="J104" i="7"/>
  <c r="G104" i="7"/>
  <c r="H104" i="7" s="1"/>
  <c r="F104" i="7"/>
  <c r="D104" i="7"/>
  <c r="C104" i="7"/>
  <c r="E104" i="7" s="1"/>
  <c r="I104" i="7" s="1"/>
  <c r="M103" i="7"/>
  <c r="L103" i="7"/>
  <c r="K103" i="7"/>
  <c r="J103" i="7"/>
  <c r="G103" i="7"/>
  <c r="H103" i="7" s="1"/>
  <c r="F103" i="7"/>
  <c r="D103" i="7"/>
  <c r="C103" i="7"/>
  <c r="E103" i="7" s="1"/>
  <c r="I103" i="7" s="1"/>
  <c r="M102" i="7"/>
  <c r="L102" i="7"/>
  <c r="K102" i="7"/>
  <c r="J102" i="7"/>
  <c r="G102" i="7"/>
  <c r="H102" i="7" s="1"/>
  <c r="F102" i="7"/>
  <c r="D102" i="7"/>
  <c r="C102" i="7"/>
  <c r="E102" i="7" s="1"/>
  <c r="I102" i="7" s="1"/>
  <c r="M101" i="7"/>
  <c r="L101" i="7"/>
  <c r="K101" i="7"/>
  <c r="J101" i="7"/>
  <c r="G101" i="7"/>
  <c r="H101" i="7" s="1"/>
  <c r="F101" i="7"/>
  <c r="D101" i="7"/>
  <c r="C101" i="7"/>
  <c r="E101" i="7" s="1"/>
  <c r="I101" i="7" s="1"/>
  <c r="M100" i="7"/>
  <c r="L100" i="7"/>
  <c r="K100" i="7"/>
  <c r="J100" i="7"/>
  <c r="G100" i="7"/>
  <c r="H100" i="7" s="1"/>
  <c r="F100" i="7"/>
  <c r="D100" i="7"/>
  <c r="C100" i="7"/>
  <c r="E100" i="7" s="1"/>
  <c r="I100" i="7" s="1"/>
  <c r="M99" i="7"/>
  <c r="L99" i="7"/>
  <c r="K99" i="7"/>
  <c r="J99" i="7"/>
  <c r="G99" i="7"/>
  <c r="H99" i="7" s="1"/>
  <c r="F99" i="7"/>
  <c r="D99" i="7"/>
  <c r="C99" i="7"/>
  <c r="E99" i="7" s="1"/>
  <c r="I99" i="7" s="1"/>
  <c r="M98" i="7"/>
  <c r="L98" i="7"/>
  <c r="K98" i="7"/>
  <c r="J98" i="7"/>
  <c r="G98" i="7"/>
  <c r="H98" i="7" s="1"/>
  <c r="F98" i="7"/>
  <c r="D98" i="7"/>
  <c r="C98" i="7"/>
  <c r="E98" i="7" s="1"/>
  <c r="I98" i="7" s="1"/>
  <c r="M97" i="7"/>
  <c r="L97" i="7"/>
  <c r="K97" i="7"/>
  <c r="J97" i="7"/>
  <c r="G97" i="7"/>
  <c r="H97" i="7" s="1"/>
  <c r="F97" i="7"/>
  <c r="D97" i="7"/>
  <c r="C97" i="7"/>
  <c r="E97" i="7" s="1"/>
  <c r="I97" i="7" s="1"/>
  <c r="M96" i="7"/>
  <c r="L96" i="7"/>
  <c r="K96" i="7"/>
  <c r="J96" i="7"/>
  <c r="G96" i="7"/>
  <c r="H96" i="7" s="1"/>
  <c r="F96" i="7"/>
  <c r="D96" i="7"/>
  <c r="C96" i="7"/>
  <c r="E96" i="7" s="1"/>
  <c r="I96" i="7" s="1"/>
  <c r="M95" i="7"/>
  <c r="L95" i="7"/>
  <c r="K95" i="7"/>
  <c r="J95" i="7"/>
  <c r="G95" i="7"/>
  <c r="H95" i="7" s="1"/>
  <c r="F95" i="7"/>
  <c r="D95" i="7"/>
  <c r="C95" i="7"/>
  <c r="E95" i="7" s="1"/>
  <c r="I95" i="7" s="1"/>
  <c r="M94" i="7"/>
  <c r="L94" i="7"/>
  <c r="K94" i="7"/>
  <c r="J94" i="7"/>
  <c r="G94" i="7"/>
  <c r="H94" i="7" s="1"/>
  <c r="F94" i="7"/>
  <c r="D94" i="7"/>
  <c r="C94" i="7"/>
  <c r="E94" i="7" s="1"/>
  <c r="I94" i="7" s="1"/>
  <c r="M93" i="7"/>
  <c r="L93" i="7"/>
  <c r="K93" i="7"/>
  <c r="J93" i="7"/>
  <c r="G93" i="7"/>
  <c r="H93" i="7" s="1"/>
  <c r="F93" i="7"/>
  <c r="D93" i="7"/>
  <c r="C93" i="7"/>
  <c r="E93" i="7" s="1"/>
  <c r="I93" i="7" s="1"/>
  <c r="M92" i="7"/>
  <c r="L92" i="7"/>
  <c r="K92" i="7"/>
  <c r="J92" i="7"/>
  <c r="G92" i="7"/>
  <c r="H92" i="7" s="1"/>
  <c r="F92" i="7"/>
  <c r="D92" i="7"/>
  <c r="C92" i="7"/>
  <c r="E92" i="7" s="1"/>
  <c r="I92" i="7" s="1"/>
  <c r="M91" i="7"/>
  <c r="L91" i="7"/>
  <c r="K91" i="7"/>
  <c r="J91" i="7"/>
  <c r="G91" i="7"/>
  <c r="H91" i="7" s="1"/>
  <c r="F91" i="7"/>
  <c r="D91" i="7"/>
  <c r="C91" i="7"/>
  <c r="E91" i="7" s="1"/>
  <c r="I91" i="7" s="1"/>
  <c r="M90" i="7"/>
  <c r="L90" i="7"/>
  <c r="K90" i="7"/>
  <c r="J90" i="7"/>
  <c r="G90" i="7"/>
  <c r="H90" i="7" s="1"/>
  <c r="F90" i="7"/>
  <c r="D90" i="7"/>
  <c r="C90" i="7"/>
  <c r="E90" i="7" s="1"/>
  <c r="I90" i="7" s="1"/>
  <c r="M89" i="7"/>
  <c r="L89" i="7"/>
  <c r="K89" i="7"/>
  <c r="J89" i="7"/>
  <c r="G89" i="7"/>
  <c r="H89" i="7" s="1"/>
  <c r="F89" i="7"/>
  <c r="D89" i="7"/>
  <c r="C89" i="7"/>
  <c r="E89" i="7" s="1"/>
  <c r="I89" i="7" s="1"/>
  <c r="M88" i="7"/>
  <c r="L88" i="7"/>
  <c r="K88" i="7"/>
  <c r="J88" i="7"/>
  <c r="G88" i="7"/>
  <c r="H88" i="7" s="1"/>
  <c r="F88" i="7"/>
  <c r="D88" i="7"/>
  <c r="C88" i="7"/>
  <c r="E88" i="7" s="1"/>
  <c r="I88" i="7" s="1"/>
  <c r="M87" i="7"/>
  <c r="L87" i="7"/>
  <c r="K87" i="7"/>
  <c r="J87" i="7"/>
  <c r="G87" i="7"/>
  <c r="H87" i="7" s="1"/>
  <c r="F87" i="7"/>
  <c r="D87" i="7"/>
  <c r="C87" i="7"/>
  <c r="E87" i="7" s="1"/>
  <c r="I87" i="7" s="1"/>
  <c r="M86" i="7"/>
  <c r="L86" i="7"/>
  <c r="K86" i="7"/>
  <c r="J86" i="7"/>
  <c r="G86" i="7"/>
  <c r="H86" i="7" s="1"/>
  <c r="F86" i="7"/>
  <c r="D86" i="7"/>
  <c r="C86" i="7"/>
  <c r="E86" i="7" s="1"/>
  <c r="I86" i="7" s="1"/>
  <c r="M85" i="7"/>
  <c r="L85" i="7"/>
  <c r="K85" i="7"/>
  <c r="J85" i="7"/>
  <c r="G85" i="7"/>
  <c r="H85" i="7" s="1"/>
  <c r="F85" i="7"/>
  <c r="D85" i="7"/>
  <c r="C85" i="7"/>
  <c r="E85" i="7" s="1"/>
  <c r="I85" i="7" s="1"/>
  <c r="M84" i="7"/>
  <c r="L84" i="7"/>
  <c r="K84" i="7"/>
  <c r="J84" i="7"/>
  <c r="G84" i="7"/>
  <c r="H84" i="7" s="1"/>
  <c r="F84" i="7"/>
  <c r="D84" i="7"/>
  <c r="C84" i="7"/>
  <c r="E84" i="7" s="1"/>
  <c r="I84" i="7" s="1"/>
  <c r="M83" i="7"/>
  <c r="L83" i="7"/>
  <c r="K83" i="7"/>
  <c r="J83" i="7"/>
  <c r="G83" i="7"/>
  <c r="H83" i="7" s="1"/>
  <c r="F83" i="7"/>
  <c r="D83" i="7"/>
  <c r="C83" i="7"/>
  <c r="E83" i="7" s="1"/>
  <c r="I83" i="7" s="1"/>
  <c r="M82" i="7"/>
  <c r="L82" i="7"/>
  <c r="K82" i="7"/>
  <c r="J82" i="7"/>
  <c r="G82" i="7"/>
  <c r="H82" i="7" s="1"/>
  <c r="F82" i="7"/>
  <c r="D82" i="7"/>
  <c r="C82" i="7"/>
  <c r="E82" i="7" s="1"/>
  <c r="I82" i="7" s="1"/>
  <c r="M81" i="7"/>
  <c r="L81" i="7"/>
  <c r="K81" i="7"/>
  <c r="J81" i="7"/>
  <c r="G81" i="7"/>
  <c r="H81" i="7" s="1"/>
  <c r="F81" i="7"/>
  <c r="D81" i="7"/>
  <c r="C81" i="7"/>
  <c r="E81" i="7" s="1"/>
  <c r="I81" i="7" s="1"/>
  <c r="M80" i="7"/>
  <c r="L80" i="7"/>
  <c r="K80" i="7"/>
  <c r="J80" i="7"/>
  <c r="G80" i="7"/>
  <c r="H80" i="7" s="1"/>
  <c r="F80" i="7"/>
  <c r="D80" i="7"/>
  <c r="C80" i="7"/>
  <c r="E80" i="7" s="1"/>
  <c r="I80" i="7" s="1"/>
  <c r="M79" i="7"/>
  <c r="L79" i="7"/>
  <c r="K79" i="7"/>
  <c r="J79" i="7"/>
  <c r="G79" i="7"/>
  <c r="H79" i="7" s="1"/>
  <c r="F79" i="7"/>
  <c r="D79" i="7"/>
  <c r="C79" i="7"/>
  <c r="E79" i="7" s="1"/>
  <c r="I79" i="7" s="1"/>
  <c r="M78" i="7"/>
  <c r="L78" i="7"/>
  <c r="K78" i="7"/>
  <c r="J78" i="7"/>
  <c r="G78" i="7"/>
  <c r="H78" i="7" s="1"/>
  <c r="F78" i="7"/>
  <c r="D78" i="7"/>
  <c r="C78" i="7"/>
  <c r="E78" i="7" s="1"/>
  <c r="I78" i="7" s="1"/>
  <c r="M77" i="7"/>
  <c r="L77" i="7"/>
  <c r="K77" i="7"/>
  <c r="J77" i="7"/>
  <c r="G77" i="7"/>
  <c r="H77" i="7" s="1"/>
  <c r="F77" i="7"/>
  <c r="D77" i="7"/>
  <c r="C77" i="7"/>
  <c r="E77" i="7" s="1"/>
  <c r="I77" i="7" s="1"/>
  <c r="M76" i="7"/>
  <c r="L76" i="7"/>
  <c r="K76" i="7"/>
  <c r="J76" i="7"/>
  <c r="G76" i="7"/>
  <c r="H76" i="7" s="1"/>
  <c r="F76" i="7"/>
  <c r="D76" i="7"/>
  <c r="C76" i="7"/>
  <c r="E76" i="7" s="1"/>
  <c r="I76" i="7" s="1"/>
  <c r="M75" i="7"/>
  <c r="L75" i="7"/>
  <c r="K75" i="7"/>
  <c r="J75" i="7"/>
  <c r="G75" i="7"/>
  <c r="H75" i="7" s="1"/>
  <c r="F75" i="7"/>
  <c r="D75" i="7"/>
  <c r="C75" i="7"/>
  <c r="E75" i="7" s="1"/>
  <c r="I75" i="7" s="1"/>
  <c r="M74" i="7"/>
  <c r="L74" i="7"/>
  <c r="K74" i="7"/>
  <c r="J74" i="7"/>
  <c r="G74" i="7"/>
  <c r="H74" i="7" s="1"/>
  <c r="F74" i="7"/>
  <c r="D74" i="7"/>
  <c r="C74" i="7"/>
  <c r="E74" i="7" s="1"/>
  <c r="I74" i="7" s="1"/>
  <c r="M73" i="7"/>
  <c r="L73" i="7"/>
  <c r="K73" i="7"/>
  <c r="J73" i="7"/>
  <c r="G73" i="7"/>
  <c r="H73" i="7" s="1"/>
  <c r="F73" i="7"/>
  <c r="D73" i="7"/>
  <c r="C73" i="7"/>
  <c r="E73" i="7" s="1"/>
  <c r="I73" i="7" s="1"/>
  <c r="M72" i="7"/>
  <c r="L72" i="7"/>
  <c r="K72" i="7"/>
  <c r="J72" i="7"/>
  <c r="G72" i="7"/>
  <c r="H72" i="7" s="1"/>
  <c r="F72" i="7"/>
  <c r="D72" i="7"/>
  <c r="C72" i="7"/>
  <c r="E72" i="7" s="1"/>
  <c r="I72" i="7" s="1"/>
  <c r="M71" i="7"/>
  <c r="L71" i="7"/>
  <c r="K71" i="7"/>
  <c r="J71" i="7"/>
  <c r="G71" i="7"/>
  <c r="H71" i="7" s="1"/>
  <c r="F71" i="7"/>
  <c r="D71" i="7"/>
  <c r="C71" i="7"/>
  <c r="E71" i="7" s="1"/>
  <c r="I71" i="7" s="1"/>
  <c r="M70" i="7"/>
  <c r="L70" i="7"/>
  <c r="K70" i="7"/>
  <c r="J70" i="7"/>
  <c r="G70" i="7"/>
  <c r="H70" i="7" s="1"/>
  <c r="F70" i="7"/>
  <c r="D70" i="7"/>
  <c r="C70" i="7"/>
  <c r="E70" i="7" s="1"/>
  <c r="I70" i="7" s="1"/>
  <c r="M69" i="7"/>
  <c r="L69" i="7"/>
  <c r="K69" i="7"/>
  <c r="J69" i="7"/>
  <c r="G69" i="7"/>
  <c r="H69" i="7" s="1"/>
  <c r="F69" i="7"/>
  <c r="D69" i="7"/>
  <c r="C69" i="7"/>
  <c r="E69" i="7" s="1"/>
  <c r="I69" i="7" s="1"/>
  <c r="M68" i="7"/>
  <c r="L68" i="7"/>
  <c r="K68" i="7"/>
  <c r="J68" i="7"/>
  <c r="G68" i="7"/>
  <c r="H68" i="7" s="1"/>
  <c r="F68" i="7"/>
  <c r="D68" i="7"/>
  <c r="C68" i="7"/>
  <c r="E68" i="7" s="1"/>
  <c r="I68" i="7" s="1"/>
  <c r="M67" i="7"/>
  <c r="L67" i="7"/>
  <c r="K67" i="7"/>
  <c r="J67" i="7"/>
  <c r="G67" i="7"/>
  <c r="H67" i="7" s="1"/>
  <c r="F67" i="7"/>
  <c r="D67" i="7"/>
  <c r="C67" i="7"/>
  <c r="E67" i="7" s="1"/>
  <c r="I67" i="7" s="1"/>
  <c r="M66" i="7"/>
  <c r="L66" i="7"/>
  <c r="K66" i="7"/>
  <c r="J66" i="7"/>
  <c r="G66" i="7"/>
  <c r="H66" i="7" s="1"/>
  <c r="F66" i="7"/>
  <c r="D66" i="7"/>
  <c r="C66" i="7"/>
  <c r="E66" i="7" s="1"/>
  <c r="I66" i="7" s="1"/>
  <c r="M65" i="7"/>
  <c r="L65" i="7"/>
  <c r="K65" i="7"/>
  <c r="J65" i="7"/>
  <c r="G65" i="7"/>
  <c r="H65" i="7" s="1"/>
  <c r="F65" i="7"/>
  <c r="D65" i="7"/>
  <c r="C65" i="7"/>
  <c r="E65" i="7" s="1"/>
  <c r="I65" i="7" s="1"/>
  <c r="M64" i="7"/>
  <c r="L64" i="7"/>
  <c r="K64" i="7"/>
  <c r="J64" i="7"/>
  <c r="G64" i="7"/>
  <c r="H64" i="7" s="1"/>
  <c r="F64" i="7"/>
  <c r="D64" i="7"/>
  <c r="C64" i="7"/>
  <c r="E64" i="7" s="1"/>
  <c r="I64" i="7" s="1"/>
  <c r="M63" i="7"/>
  <c r="L63" i="7"/>
  <c r="K63" i="7"/>
  <c r="J63" i="7"/>
  <c r="G63" i="7"/>
  <c r="H63" i="7" s="1"/>
  <c r="F63" i="7"/>
  <c r="D63" i="7"/>
  <c r="C63" i="7"/>
  <c r="E63" i="7" s="1"/>
  <c r="I63" i="7" s="1"/>
  <c r="M62" i="7"/>
  <c r="L62" i="7"/>
  <c r="K62" i="7"/>
  <c r="J62" i="7"/>
  <c r="G62" i="7"/>
  <c r="H62" i="7" s="1"/>
  <c r="F62" i="7"/>
  <c r="D62" i="7"/>
  <c r="C62" i="7"/>
  <c r="E62" i="7" s="1"/>
  <c r="I62" i="7" s="1"/>
  <c r="M61" i="7"/>
  <c r="L61" i="7"/>
  <c r="K61" i="7"/>
  <c r="J61" i="7"/>
  <c r="G61" i="7"/>
  <c r="H61" i="7" s="1"/>
  <c r="F61" i="7"/>
  <c r="D61" i="7"/>
  <c r="C61" i="7"/>
  <c r="E61" i="7" s="1"/>
  <c r="I61" i="7" s="1"/>
  <c r="M60" i="7"/>
  <c r="L60" i="7"/>
  <c r="K60" i="7"/>
  <c r="J60" i="7"/>
  <c r="G60" i="7"/>
  <c r="H60" i="7" s="1"/>
  <c r="F60" i="7"/>
  <c r="D60" i="7"/>
  <c r="C60" i="7"/>
  <c r="E60" i="7" s="1"/>
  <c r="I60" i="7" s="1"/>
  <c r="M59" i="7"/>
  <c r="L59" i="7"/>
  <c r="K59" i="7"/>
  <c r="J59" i="7"/>
  <c r="G59" i="7"/>
  <c r="H59" i="7" s="1"/>
  <c r="F59" i="7"/>
  <c r="D59" i="7"/>
  <c r="C59" i="7"/>
  <c r="E59" i="7" s="1"/>
  <c r="I59" i="7" s="1"/>
  <c r="M58" i="7"/>
  <c r="L58" i="7"/>
  <c r="K58" i="7"/>
  <c r="J58" i="7"/>
  <c r="G58" i="7"/>
  <c r="H58" i="7" s="1"/>
  <c r="F58" i="7"/>
  <c r="D58" i="7"/>
  <c r="C58" i="7"/>
  <c r="E58" i="7" s="1"/>
  <c r="I58" i="7" s="1"/>
  <c r="M57" i="7"/>
  <c r="L57" i="7"/>
  <c r="K57" i="7"/>
  <c r="J57" i="7"/>
  <c r="G57" i="7"/>
  <c r="H57" i="7" s="1"/>
  <c r="F57" i="7"/>
  <c r="D57" i="7"/>
  <c r="C57" i="7"/>
  <c r="E57" i="7" s="1"/>
  <c r="I57" i="7" s="1"/>
  <c r="M56" i="7"/>
  <c r="L56" i="7"/>
  <c r="K56" i="7"/>
  <c r="J56" i="7"/>
  <c r="G56" i="7"/>
  <c r="H56" i="7" s="1"/>
  <c r="F56" i="7"/>
  <c r="D56" i="7"/>
  <c r="C56" i="7"/>
  <c r="E56" i="7" s="1"/>
  <c r="I56" i="7" s="1"/>
  <c r="M55" i="7"/>
  <c r="L55" i="7"/>
  <c r="K55" i="7"/>
  <c r="J55" i="7"/>
  <c r="G55" i="7"/>
  <c r="H55" i="7" s="1"/>
  <c r="F55" i="7"/>
  <c r="D55" i="7"/>
  <c r="C55" i="7"/>
  <c r="E55" i="7" s="1"/>
  <c r="I55" i="7" s="1"/>
  <c r="M54" i="7"/>
  <c r="L54" i="7"/>
  <c r="K54" i="7"/>
  <c r="J54" i="7"/>
  <c r="G54" i="7"/>
  <c r="H54" i="7" s="1"/>
  <c r="F54" i="7"/>
  <c r="D54" i="7"/>
  <c r="C54" i="7"/>
  <c r="E54" i="7" s="1"/>
  <c r="I54" i="7" s="1"/>
  <c r="M53" i="7"/>
  <c r="L53" i="7"/>
  <c r="K53" i="7"/>
  <c r="J53" i="7"/>
  <c r="G53" i="7"/>
  <c r="H53" i="7" s="1"/>
  <c r="F53" i="7"/>
  <c r="D53" i="7"/>
  <c r="C53" i="7"/>
  <c r="E53" i="7" s="1"/>
  <c r="I53" i="7" s="1"/>
  <c r="M52" i="7"/>
  <c r="L52" i="7"/>
  <c r="K52" i="7"/>
  <c r="J52" i="7"/>
  <c r="G52" i="7"/>
  <c r="H52" i="7" s="1"/>
  <c r="F52" i="7"/>
  <c r="D52" i="7"/>
  <c r="C52" i="7"/>
  <c r="E52" i="7" s="1"/>
  <c r="I52" i="7" s="1"/>
  <c r="M51" i="7"/>
  <c r="L51" i="7"/>
  <c r="K51" i="7"/>
  <c r="J51" i="7"/>
  <c r="G51" i="7"/>
  <c r="H51" i="7" s="1"/>
  <c r="F51" i="7"/>
  <c r="D51" i="7"/>
  <c r="C51" i="7"/>
  <c r="E51" i="7" s="1"/>
  <c r="I51" i="7" s="1"/>
  <c r="M50" i="7"/>
  <c r="L50" i="7"/>
  <c r="K50" i="7"/>
  <c r="J50" i="7"/>
  <c r="G50" i="7"/>
  <c r="H50" i="7" s="1"/>
  <c r="F50" i="7"/>
  <c r="D50" i="7"/>
  <c r="C50" i="7"/>
  <c r="E50" i="7" s="1"/>
  <c r="I50" i="7" s="1"/>
  <c r="M49" i="7"/>
  <c r="L49" i="7"/>
  <c r="K49" i="7"/>
  <c r="J49" i="7"/>
  <c r="G49" i="7"/>
  <c r="H49" i="7" s="1"/>
  <c r="F49" i="7"/>
  <c r="D49" i="7"/>
  <c r="C49" i="7"/>
  <c r="E49" i="7" s="1"/>
  <c r="I49" i="7" s="1"/>
  <c r="M48" i="7"/>
  <c r="L48" i="7"/>
  <c r="K48" i="7"/>
  <c r="J48" i="7"/>
  <c r="G48" i="7"/>
  <c r="H48" i="7" s="1"/>
  <c r="F48" i="7"/>
  <c r="D48" i="7"/>
  <c r="C48" i="7"/>
  <c r="E48" i="7" s="1"/>
  <c r="I48" i="7" s="1"/>
  <c r="M47" i="7"/>
  <c r="L47" i="7"/>
  <c r="K47" i="7"/>
  <c r="J47" i="7"/>
  <c r="G47" i="7"/>
  <c r="H47" i="7" s="1"/>
  <c r="F47" i="7"/>
  <c r="D47" i="7"/>
  <c r="C47" i="7"/>
  <c r="E47" i="7" s="1"/>
  <c r="I47" i="7" s="1"/>
  <c r="M46" i="7"/>
  <c r="L46" i="7"/>
  <c r="K46" i="7"/>
  <c r="J46" i="7"/>
  <c r="G46" i="7"/>
  <c r="H46" i="7" s="1"/>
  <c r="F46" i="7"/>
  <c r="D46" i="7"/>
  <c r="C46" i="7"/>
  <c r="E46" i="7" s="1"/>
  <c r="I46" i="7" s="1"/>
  <c r="M45" i="7"/>
  <c r="L45" i="7"/>
  <c r="K45" i="7"/>
  <c r="J45" i="7"/>
  <c r="G45" i="7"/>
  <c r="H45" i="7" s="1"/>
  <c r="F45" i="7"/>
  <c r="D45" i="7"/>
  <c r="C45" i="7"/>
  <c r="E45" i="7" s="1"/>
  <c r="I45" i="7" s="1"/>
  <c r="M44" i="7"/>
  <c r="L44" i="7"/>
  <c r="K44" i="7"/>
  <c r="J44" i="7"/>
  <c r="G44" i="7"/>
  <c r="H44" i="7" s="1"/>
  <c r="F44" i="7"/>
  <c r="D44" i="7"/>
  <c r="C44" i="7"/>
  <c r="E44" i="7" s="1"/>
  <c r="I44" i="7" s="1"/>
  <c r="M43" i="7"/>
  <c r="L43" i="7"/>
  <c r="K43" i="7"/>
  <c r="J43" i="7"/>
  <c r="G43" i="7"/>
  <c r="H43" i="7" s="1"/>
  <c r="F43" i="7"/>
  <c r="D43" i="7"/>
  <c r="C43" i="7"/>
  <c r="E43" i="7" s="1"/>
  <c r="I43" i="7" s="1"/>
  <c r="M42" i="7"/>
  <c r="L42" i="7"/>
  <c r="K42" i="7"/>
  <c r="J42" i="7"/>
  <c r="G42" i="7"/>
  <c r="H42" i="7" s="1"/>
  <c r="F42" i="7"/>
  <c r="D42" i="7"/>
  <c r="C42" i="7"/>
  <c r="E42" i="7" s="1"/>
  <c r="I42" i="7" s="1"/>
  <c r="M41" i="7"/>
  <c r="L41" i="7"/>
  <c r="K41" i="7"/>
  <c r="J41" i="7"/>
  <c r="G41" i="7"/>
  <c r="H41" i="7" s="1"/>
  <c r="F41" i="7"/>
  <c r="D41" i="7"/>
  <c r="C41" i="7"/>
  <c r="E41" i="7" s="1"/>
  <c r="I41" i="7" s="1"/>
  <c r="M40" i="7"/>
  <c r="L40" i="7"/>
  <c r="K40" i="7"/>
  <c r="J40" i="7"/>
  <c r="G40" i="7"/>
  <c r="H40" i="7" s="1"/>
  <c r="F40" i="7"/>
  <c r="D40" i="7"/>
  <c r="C40" i="7"/>
  <c r="E40" i="7" s="1"/>
  <c r="I40" i="7" s="1"/>
  <c r="M39" i="7"/>
  <c r="L39" i="7"/>
  <c r="K39" i="7"/>
  <c r="J39" i="7"/>
  <c r="G39" i="7"/>
  <c r="H39" i="7" s="1"/>
  <c r="F39" i="7"/>
  <c r="D39" i="7"/>
  <c r="C39" i="7"/>
  <c r="E39" i="7" s="1"/>
  <c r="I39" i="7" s="1"/>
  <c r="M38" i="7"/>
  <c r="L38" i="7"/>
  <c r="K38" i="7"/>
  <c r="J38" i="7"/>
  <c r="G38" i="7"/>
  <c r="H38" i="7" s="1"/>
  <c r="F38" i="7"/>
  <c r="D38" i="7"/>
  <c r="C38" i="7"/>
  <c r="E38" i="7" s="1"/>
  <c r="I38" i="7" s="1"/>
  <c r="M37" i="7"/>
  <c r="L37" i="7"/>
  <c r="K37" i="7"/>
  <c r="J37" i="7"/>
  <c r="G37" i="7"/>
  <c r="H37" i="7" s="1"/>
  <c r="F37" i="7"/>
  <c r="D37" i="7"/>
  <c r="C37" i="7"/>
  <c r="E37" i="7" s="1"/>
  <c r="I37" i="7" s="1"/>
  <c r="M36" i="7"/>
  <c r="L36" i="7"/>
  <c r="K36" i="7"/>
  <c r="J36" i="7"/>
  <c r="G36" i="7"/>
  <c r="H36" i="7" s="1"/>
  <c r="F36" i="7"/>
  <c r="D36" i="7"/>
  <c r="C36" i="7"/>
  <c r="E36" i="7" s="1"/>
  <c r="I36" i="7" s="1"/>
  <c r="M35" i="7"/>
  <c r="L35" i="7"/>
  <c r="K35" i="7"/>
  <c r="J35" i="7"/>
  <c r="G35" i="7"/>
  <c r="H35" i="7" s="1"/>
  <c r="F35" i="7"/>
  <c r="D35" i="7"/>
  <c r="C35" i="7"/>
  <c r="E35" i="7" s="1"/>
  <c r="I35" i="7" s="1"/>
  <c r="M34" i="7"/>
  <c r="L34" i="7"/>
  <c r="K34" i="7"/>
  <c r="J34" i="7"/>
  <c r="G34" i="7"/>
  <c r="H34" i="7" s="1"/>
  <c r="F34" i="7"/>
  <c r="D34" i="7"/>
  <c r="C34" i="7"/>
  <c r="E34" i="7" s="1"/>
  <c r="I34" i="7" s="1"/>
  <c r="M33" i="7"/>
  <c r="L33" i="7"/>
  <c r="K33" i="7"/>
  <c r="J33" i="7"/>
  <c r="G33" i="7"/>
  <c r="H33" i="7" s="1"/>
  <c r="F33" i="7"/>
  <c r="D33" i="7"/>
  <c r="C33" i="7"/>
  <c r="E33" i="7" s="1"/>
  <c r="I33" i="7" s="1"/>
  <c r="M32" i="7"/>
  <c r="L32" i="7"/>
  <c r="K32" i="7"/>
  <c r="J32" i="7"/>
  <c r="G32" i="7"/>
  <c r="H32" i="7" s="1"/>
  <c r="F32" i="7"/>
  <c r="D32" i="7"/>
  <c r="C32" i="7"/>
  <c r="E32" i="7" s="1"/>
  <c r="I32" i="7" s="1"/>
  <c r="M31" i="7"/>
  <c r="L31" i="7"/>
  <c r="K31" i="7"/>
  <c r="J31" i="7"/>
  <c r="G31" i="7"/>
  <c r="H31" i="7" s="1"/>
  <c r="F31" i="7"/>
  <c r="D31" i="7"/>
  <c r="C31" i="7"/>
  <c r="E31" i="7" s="1"/>
  <c r="I31" i="7" s="1"/>
  <c r="M30" i="7"/>
  <c r="L30" i="7"/>
  <c r="K30" i="7"/>
  <c r="J30" i="7"/>
  <c r="G30" i="7"/>
  <c r="H30" i="7" s="1"/>
  <c r="F30" i="7"/>
  <c r="D30" i="7"/>
  <c r="C30" i="7"/>
  <c r="E30" i="7" s="1"/>
  <c r="I30" i="7" s="1"/>
  <c r="M29" i="7"/>
  <c r="L29" i="7"/>
  <c r="K29" i="7"/>
  <c r="J29" i="7"/>
  <c r="G29" i="7"/>
  <c r="H29" i="7" s="1"/>
  <c r="F29" i="7"/>
  <c r="D29" i="7"/>
  <c r="C29" i="7"/>
  <c r="E29" i="7" s="1"/>
  <c r="I29" i="7" s="1"/>
  <c r="M28" i="7"/>
  <c r="L28" i="7"/>
  <c r="K28" i="7"/>
  <c r="J28" i="7"/>
  <c r="G28" i="7"/>
  <c r="H28" i="7" s="1"/>
  <c r="F28" i="7"/>
  <c r="D28" i="7"/>
  <c r="C28" i="7"/>
  <c r="E28" i="7" s="1"/>
  <c r="I28" i="7" s="1"/>
  <c r="M27" i="7"/>
  <c r="L27" i="7"/>
  <c r="K27" i="7"/>
  <c r="J27" i="7"/>
  <c r="G27" i="7"/>
  <c r="H27" i="7" s="1"/>
  <c r="F27" i="7"/>
  <c r="D27" i="7"/>
  <c r="C27" i="7"/>
  <c r="E27" i="7" s="1"/>
  <c r="I27" i="7" s="1"/>
  <c r="M26" i="7"/>
  <c r="L26" i="7"/>
  <c r="K26" i="7"/>
  <c r="J26" i="7"/>
  <c r="G26" i="7"/>
  <c r="H26" i="7" s="1"/>
  <c r="F26" i="7"/>
  <c r="D26" i="7"/>
  <c r="C26" i="7"/>
  <c r="E26" i="7" s="1"/>
  <c r="I26" i="7" s="1"/>
  <c r="M25" i="7"/>
  <c r="L25" i="7"/>
  <c r="K25" i="7"/>
  <c r="J25" i="7"/>
  <c r="G25" i="7"/>
  <c r="H25" i="7" s="1"/>
  <c r="F25" i="7"/>
  <c r="D25" i="7"/>
  <c r="C25" i="7"/>
  <c r="E25" i="7" s="1"/>
  <c r="I25" i="7" s="1"/>
  <c r="M24" i="7"/>
  <c r="L24" i="7"/>
  <c r="K24" i="7"/>
  <c r="J24" i="7"/>
  <c r="G24" i="7"/>
  <c r="H24" i="7" s="1"/>
  <c r="F24" i="7"/>
  <c r="D24" i="7"/>
  <c r="C24" i="7"/>
  <c r="E24" i="7" s="1"/>
  <c r="I24" i="7" s="1"/>
  <c r="M23" i="7"/>
  <c r="L23" i="7"/>
  <c r="K23" i="7"/>
  <c r="J23" i="7"/>
  <c r="G23" i="7"/>
  <c r="H23" i="7" s="1"/>
  <c r="F23" i="7"/>
  <c r="D23" i="7"/>
  <c r="C23" i="7"/>
  <c r="E23" i="7" s="1"/>
  <c r="I23" i="7" s="1"/>
  <c r="M22" i="7"/>
  <c r="L22" i="7"/>
  <c r="K22" i="7"/>
  <c r="J22" i="7"/>
  <c r="G22" i="7"/>
  <c r="H22" i="7" s="1"/>
  <c r="F22" i="7"/>
  <c r="D22" i="7"/>
  <c r="C22" i="7"/>
  <c r="E22" i="7" s="1"/>
  <c r="I22" i="7" s="1"/>
  <c r="M21" i="7"/>
  <c r="L21" i="7"/>
  <c r="K21" i="7"/>
  <c r="J21" i="7"/>
  <c r="G21" i="7"/>
  <c r="H21" i="7" s="1"/>
  <c r="F21" i="7"/>
  <c r="D21" i="7"/>
  <c r="C21" i="7"/>
  <c r="E21" i="7" s="1"/>
  <c r="I21" i="7" s="1"/>
  <c r="M20" i="7"/>
  <c r="L20" i="7"/>
  <c r="K20" i="7"/>
  <c r="J20" i="7"/>
  <c r="G20" i="7"/>
  <c r="H20" i="7" s="1"/>
  <c r="F20" i="7"/>
  <c r="D20" i="7"/>
  <c r="C20" i="7"/>
  <c r="E20" i="7" s="1"/>
  <c r="I20" i="7" s="1"/>
  <c r="M19" i="7"/>
  <c r="L19" i="7"/>
  <c r="K19" i="7"/>
  <c r="J19" i="7"/>
  <c r="G19" i="7"/>
  <c r="H19" i="7" s="1"/>
  <c r="F19" i="7"/>
  <c r="D19" i="7"/>
  <c r="C19" i="7"/>
  <c r="E19" i="7" s="1"/>
  <c r="I19" i="7" s="1"/>
  <c r="M18" i="7"/>
  <c r="L18" i="7"/>
  <c r="K18" i="7"/>
  <c r="J18" i="7"/>
  <c r="G18" i="7"/>
  <c r="H18" i="7" s="1"/>
  <c r="F18" i="7"/>
  <c r="D18" i="7"/>
  <c r="C18" i="7"/>
  <c r="E18" i="7" s="1"/>
  <c r="I18" i="7" s="1"/>
  <c r="M17" i="7"/>
  <c r="L17" i="7"/>
  <c r="K17" i="7"/>
  <c r="J17" i="7"/>
  <c r="G17" i="7"/>
  <c r="H17" i="7" s="1"/>
  <c r="F17" i="7"/>
  <c r="D17" i="7"/>
  <c r="C17" i="7"/>
  <c r="E17" i="7" s="1"/>
  <c r="I17" i="7" s="1"/>
  <c r="M16" i="7"/>
  <c r="L16" i="7"/>
  <c r="K16" i="7"/>
  <c r="J16" i="7"/>
  <c r="G16" i="7"/>
  <c r="H16" i="7" s="1"/>
  <c r="F16" i="7"/>
  <c r="D16" i="7"/>
  <c r="C16" i="7"/>
  <c r="E16" i="7" s="1"/>
  <c r="I16" i="7" s="1"/>
  <c r="M15" i="7"/>
  <c r="L15" i="7"/>
  <c r="K15" i="7"/>
  <c r="J15" i="7"/>
  <c r="G15" i="7"/>
  <c r="H15" i="7" s="1"/>
  <c r="F15" i="7"/>
  <c r="D15" i="7"/>
  <c r="C15" i="7"/>
  <c r="E15" i="7" s="1"/>
  <c r="I15" i="7" s="1"/>
  <c r="M14" i="7"/>
  <c r="L14" i="7"/>
  <c r="K14" i="7"/>
  <c r="J14" i="7"/>
  <c r="G14" i="7"/>
  <c r="H14" i="7" s="1"/>
  <c r="F14" i="7"/>
  <c r="D14" i="7"/>
  <c r="C14" i="7"/>
  <c r="E14" i="7" s="1"/>
  <c r="I14" i="7" s="1"/>
  <c r="M13" i="7"/>
  <c r="L13" i="7"/>
  <c r="K13" i="7"/>
  <c r="J13" i="7"/>
  <c r="G13" i="7"/>
  <c r="H13" i="7" s="1"/>
  <c r="F13" i="7"/>
  <c r="D13" i="7"/>
  <c r="C13" i="7"/>
  <c r="E13" i="7" s="1"/>
  <c r="I13" i="7" s="1"/>
  <c r="M12" i="7"/>
  <c r="L12" i="7"/>
  <c r="K12" i="7"/>
  <c r="J12" i="7"/>
  <c r="G12" i="7"/>
  <c r="H12" i="7" s="1"/>
  <c r="F12" i="7"/>
  <c r="D12" i="7"/>
  <c r="C12" i="7"/>
  <c r="E12" i="7" s="1"/>
  <c r="I12" i="7" s="1"/>
  <c r="M11" i="7"/>
  <c r="L11" i="7"/>
  <c r="K11" i="7"/>
  <c r="J11" i="7"/>
  <c r="G11" i="7"/>
  <c r="H11" i="7" s="1"/>
  <c r="F11" i="7"/>
  <c r="D11" i="7"/>
  <c r="C11" i="7"/>
  <c r="E11" i="7" s="1"/>
  <c r="I11" i="7" s="1"/>
  <c r="M10" i="7"/>
  <c r="L10" i="7"/>
  <c r="K10" i="7"/>
  <c r="J10" i="7"/>
  <c r="G10" i="7"/>
  <c r="H10" i="7" s="1"/>
  <c r="F10" i="7"/>
  <c r="D10" i="7"/>
  <c r="C10" i="7"/>
  <c r="E10" i="7" s="1"/>
  <c r="I10" i="7" s="1"/>
  <c r="M9" i="7"/>
  <c r="L9" i="7"/>
  <c r="K9" i="7"/>
  <c r="J9" i="7"/>
  <c r="G9" i="7"/>
  <c r="H9" i="7" s="1"/>
  <c r="F9" i="7"/>
  <c r="D9" i="7"/>
  <c r="C9" i="7"/>
  <c r="E9" i="7" s="1"/>
  <c r="I9" i="7" s="1"/>
  <c r="M8" i="7"/>
  <c r="L8" i="7"/>
  <c r="K8" i="7"/>
  <c r="J8" i="7"/>
  <c r="G8" i="7"/>
  <c r="H8" i="7" s="1"/>
  <c r="F8" i="7"/>
  <c r="D8" i="7"/>
  <c r="C8" i="7"/>
  <c r="E8" i="7" s="1"/>
  <c r="I8" i="7" s="1"/>
  <c r="M7" i="7"/>
  <c r="L7" i="7"/>
  <c r="K7" i="7"/>
  <c r="J7" i="7"/>
  <c r="G7" i="7"/>
  <c r="H7" i="7" s="1"/>
  <c r="F7" i="7"/>
  <c r="D7" i="7"/>
  <c r="C7" i="7"/>
  <c r="E7" i="7" s="1"/>
  <c r="I7" i="7" s="1"/>
  <c r="M6" i="7"/>
  <c r="L6" i="7"/>
  <c r="K6" i="7"/>
  <c r="J6" i="7"/>
  <c r="G6" i="7"/>
  <c r="H6" i="7" s="1"/>
  <c r="F6" i="7"/>
  <c r="D6" i="7"/>
  <c r="C6" i="7"/>
  <c r="E6" i="7" s="1"/>
  <c r="I6" i="7" s="1"/>
  <c r="M5" i="7"/>
  <c r="L5" i="7"/>
  <c r="K5" i="7"/>
  <c r="J5" i="7"/>
  <c r="D5" i="7"/>
  <c r="M4" i="7"/>
  <c r="L4" i="7"/>
  <c r="K4" i="7"/>
  <c r="J4" i="7"/>
  <c r="D4" i="7"/>
  <c r="M3" i="7"/>
  <c r="L3" i="7"/>
  <c r="K3" i="7"/>
  <c r="J3" i="7"/>
  <c r="D3" i="7"/>
  <c r="M2" i="7"/>
  <c r="L2" i="7"/>
  <c r="K2" i="7"/>
  <c r="J2" i="7"/>
  <c r="D2" i="7"/>
  <c r="B8" i="6"/>
  <c r="E6" i="6"/>
  <c r="E5" i="6"/>
  <c r="E4" i="6"/>
  <c r="E3" i="6"/>
  <c r="I500" i="5"/>
  <c r="B500" i="5"/>
  <c r="I499" i="5"/>
  <c r="B499" i="5"/>
  <c r="I498" i="5"/>
  <c r="B498" i="5"/>
  <c r="I497" i="5"/>
  <c r="B497" i="5"/>
  <c r="I496" i="5"/>
  <c r="B496" i="5"/>
  <c r="I495" i="5"/>
  <c r="B495" i="5"/>
  <c r="I494" i="5"/>
  <c r="B494" i="5"/>
  <c r="I493" i="5"/>
  <c r="B493" i="5"/>
  <c r="I492" i="5"/>
  <c r="B492" i="5"/>
  <c r="I491" i="5"/>
  <c r="B491" i="5"/>
  <c r="I490" i="5"/>
  <c r="B490" i="5"/>
  <c r="I489" i="5"/>
  <c r="B489" i="5"/>
  <c r="I488" i="5"/>
  <c r="B488" i="5"/>
  <c r="I487" i="5"/>
  <c r="B487" i="5"/>
  <c r="I486" i="5"/>
  <c r="B486" i="5"/>
  <c r="I485" i="5"/>
  <c r="B485" i="5"/>
  <c r="I484" i="5"/>
  <c r="B484" i="5"/>
  <c r="I483" i="5"/>
  <c r="B483" i="5"/>
  <c r="I482" i="5"/>
  <c r="B482" i="5"/>
  <c r="I481" i="5"/>
  <c r="B481" i="5"/>
  <c r="I480" i="5"/>
  <c r="B480" i="5"/>
  <c r="I479" i="5"/>
  <c r="B479" i="5"/>
  <c r="I478" i="5"/>
  <c r="B478" i="5"/>
  <c r="I477" i="5"/>
  <c r="B477" i="5"/>
  <c r="I476" i="5"/>
  <c r="B476" i="5"/>
  <c r="I475" i="5"/>
  <c r="B475" i="5"/>
  <c r="I474" i="5"/>
  <c r="B474" i="5"/>
  <c r="I473" i="5"/>
  <c r="B473" i="5"/>
  <c r="I472" i="5"/>
  <c r="B472" i="5"/>
  <c r="I471" i="5"/>
  <c r="B471" i="5"/>
  <c r="I470" i="5"/>
  <c r="B470" i="5"/>
  <c r="I469" i="5"/>
  <c r="B469" i="5"/>
  <c r="I468" i="5"/>
  <c r="B468" i="5"/>
  <c r="I467" i="5"/>
  <c r="B467" i="5"/>
  <c r="I466" i="5"/>
  <c r="B466" i="5"/>
  <c r="I465" i="5"/>
  <c r="B465" i="5"/>
  <c r="I464" i="5"/>
  <c r="B464" i="5"/>
  <c r="I463" i="5"/>
  <c r="B463" i="5"/>
  <c r="I462" i="5"/>
  <c r="B462" i="5"/>
  <c r="I461" i="5"/>
  <c r="B461" i="5"/>
  <c r="I460" i="5"/>
  <c r="B460" i="5"/>
  <c r="I459" i="5"/>
  <c r="B459" i="5"/>
  <c r="I458" i="5"/>
  <c r="B458" i="5"/>
  <c r="I457" i="5"/>
  <c r="B457" i="5"/>
  <c r="I456" i="5"/>
  <c r="B456" i="5"/>
  <c r="I455" i="5"/>
  <c r="B455" i="5"/>
  <c r="I454" i="5"/>
  <c r="B454" i="5"/>
  <c r="I453" i="5"/>
  <c r="B453" i="5"/>
  <c r="I452" i="5"/>
  <c r="B452" i="5"/>
  <c r="I451" i="5"/>
  <c r="B451" i="5"/>
  <c r="I450" i="5"/>
  <c r="B450" i="5"/>
  <c r="I449" i="5"/>
  <c r="B449" i="5"/>
  <c r="I448" i="5"/>
  <c r="B448" i="5"/>
  <c r="I447" i="5"/>
  <c r="B447" i="5"/>
  <c r="I446" i="5"/>
  <c r="B446" i="5"/>
  <c r="I445" i="5"/>
  <c r="B445" i="5"/>
  <c r="I444" i="5"/>
  <c r="B444" i="5"/>
  <c r="I443" i="5"/>
  <c r="B443" i="5"/>
  <c r="I442" i="5"/>
  <c r="B442" i="5"/>
  <c r="I441" i="5"/>
  <c r="B441" i="5"/>
  <c r="I440" i="5"/>
  <c r="B440" i="5"/>
  <c r="I439" i="5"/>
  <c r="B439" i="5"/>
  <c r="I438" i="5"/>
  <c r="B438" i="5"/>
  <c r="I437" i="5"/>
  <c r="B437" i="5"/>
  <c r="I436" i="5"/>
  <c r="B436" i="5"/>
  <c r="I435" i="5"/>
  <c r="B435" i="5"/>
  <c r="I434" i="5"/>
  <c r="B434" i="5"/>
  <c r="I433" i="5"/>
  <c r="B433" i="5"/>
  <c r="I432" i="5"/>
  <c r="B432" i="5"/>
  <c r="I431" i="5"/>
  <c r="B431" i="5"/>
  <c r="I430" i="5"/>
  <c r="B430" i="5"/>
  <c r="I429" i="5"/>
  <c r="B429" i="5"/>
  <c r="I428" i="5"/>
  <c r="B428" i="5"/>
  <c r="I427" i="5"/>
  <c r="B427" i="5"/>
  <c r="I426" i="5"/>
  <c r="B426" i="5"/>
  <c r="I425" i="5"/>
  <c r="B425" i="5"/>
  <c r="I424" i="5"/>
  <c r="B424" i="5"/>
  <c r="I423" i="5"/>
  <c r="B423" i="5"/>
  <c r="I422" i="5"/>
  <c r="B422" i="5"/>
  <c r="I421" i="5"/>
  <c r="B421" i="5"/>
  <c r="I420" i="5"/>
  <c r="B420" i="5"/>
  <c r="I419" i="5"/>
  <c r="B419" i="5"/>
  <c r="I418" i="5"/>
  <c r="B418" i="5"/>
  <c r="I417" i="5"/>
  <c r="B417" i="5"/>
  <c r="I416" i="5"/>
  <c r="B416" i="5"/>
  <c r="I415" i="5"/>
  <c r="B415" i="5"/>
  <c r="I414" i="5"/>
  <c r="B414" i="5"/>
  <c r="I413" i="5"/>
  <c r="B413" i="5"/>
  <c r="I412" i="5"/>
  <c r="B412" i="5"/>
  <c r="I411" i="5"/>
  <c r="B411" i="5"/>
  <c r="I410" i="5"/>
  <c r="B410" i="5"/>
  <c r="I409" i="5"/>
  <c r="B409" i="5"/>
  <c r="I408" i="5"/>
  <c r="B408" i="5"/>
  <c r="I407" i="5"/>
  <c r="B407" i="5"/>
  <c r="I406" i="5"/>
  <c r="B406" i="5"/>
  <c r="I405" i="5"/>
  <c r="B405" i="5"/>
  <c r="I404" i="5"/>
  <c r="B404" i="5"/>
  <c r="I403" i="5"/>
  <c r="B403" i="5"/>
  <c r="I402" i="5"/>
  <c r="B402" i="5"/>
  <c r="I401" i="5"/>
  <c r="B401" i="5"/>
  <c r="I400" i="5"/>
  <c r="B400" i="5"/>
  <c r="I399" i="5"/>
  <c r="B399" i="5"/>
  <c r="I398" i="5"/>
  <c r="B398" i="5"/>
  <c r="I397" i="5"/>
  <c r="B397" i="5"/>
  <c r="I396" i="5"/>
  <c r="B396" i="5"/>
  <c r="I395" i="5"/>
  <c r="B395" i="5"/>
  <c r="I394" i="5"/>
  <c r="B394" i="5"/>
  <c r="I393" i="5"/>
  <c r="B393" i="5"/>
  <c r="I392" i="5"/>
  <c r="B392" i="5"/>
  <c r="I391" i="5"/>
  <c r="B391" i="5"/>
  <c r="I390" i="5"/>
  <c r="B390" i="5"/>
  <c r="I389" i="5"/>
  <c r="B389" i="5"/>
  <c r="I388" i="5"/>
  <c r="B388" i="5"/>
  <c r="I387" i="5"/>
  <c r="B387" i="5"/>
  <c r="I386" i="5"/>
  <c r="B386" i="5"/>
  <c r="I385" i="5"/>
  <c r="B385" i="5"/>
  <c r="I384" i="5"/>
  <c r="B384" i="5"/>
  <c r="I383" i="5"/>
  <c r="B383" i="5"/>
  <c r="I382" i="5"/>
  <c r="B382" i="5"/>
  <c r="I381" i="5"/>
  <c r="B381" i="5"/>
  <c r="I380" i="5"/>
  <c r="B380" i="5"/>
  <c r="I379" i="5"/>
  <c r="B379" i="5"/>
  <c r="I378" i="5"/>
  <c r="B378" i="5"/>
  <c r="I377" i="5"/>
  <c r="B377" i="5"/>
  <c r="I376" i="5"/>
  <c r="B376" i="5"/>
  <c r="I375" i="5"/>
  <c r="B375" i="5"/>
  <c r="I374" i="5"/>
  <c r="B374" i="5"/>
  <c r="I373" i="5"/>
  <c r="B373" i="5"/>
  <c r="I372" i="5"/>
  <c r="B372" i="5"/>
  <c r="I371" i="5"/>
  <c r="B371" i="5"/>
  <c r="I370" i="5"/>
  <c r="B370" i="5"/>
  <c r="I369" i="5"/>
  <c r="B369" i="5"/>
  <c r="I368" i="5"/>
  <c r="B368" i="5"/>
  <c r="I367" i="5"/>
  <c r="B367" i="5"/>
  <c r="I366" i="5"/>
  <c r="B366" i="5"/>
  <c r="I365" i="5"/>
  <c r="B365" i="5"/>
  <c r="I364" i="5"/>
  <c r="B364" i="5"/>
  <c r="I363" i="5"/>
  <c r="B363" i="5"/>
  <c r="I362" i="5"/>
  <c r="B362" i="5"/>
  <c r="I361" i="5"/>
  <c r="B361" i="5"/>
  <c r="I360" i="5"/>
  <c r="B360" i="5"/>
  <c r="I359" i="5"/>
  <c r="B359" i="5"/>
  <c r="I358" i="5"/>
  <c r="B358" i="5"/>
  <c r="I357" i="5"/>
  <c r="B357" i="5"/>
  <c r="I356" i="5"/>
  <c r="B356" i="5"/>
  <c r="I355" i="5"/>
  <c r="B355" i="5"/>
  <c r="I354" i="5"/>
  <c r="B354" i="5"/>
  <c r="I353" i="5"/>
  <c r="B353" i="5"/>
  <c r="I352" i="5"/>
  <c r="B352" i="5"/>
  <c r="I351" i="5"/>
  <c r="B351" i="5"/>
  <c r="I350" i="5"/>
  <c r="B350" i="5"/>
  <c r="I349" i="5"/>
  <c r="B349" i="5"/>
  <c r="I348" i="5"/>
  <c r="B348" i="5"/>
  <c r="I347" i="5"/>
  <c r="B347" i="5"/>
  <c r="I346" i="5"/>
  <c r="B346" i="5"/>
  <c r="I345" i="5"/>
  <c r="B345" i="5"/>
  <c r="I344" i="5"/>
  <c r="B344" i="5"/>
  <c r="I343" i="5"/>
  <c r="B343" i="5"/>
  <c r="I342" i="5"/>
  <c r="B342" i="5"/>
  <c r="I341" i="5"/>
  <c r="B341" i="5"/>
  <c r="I340" i="5"/>
  <c r="B340" i="5"/>
  <c r="I339" i="5"/>
  <c r="B339" i="5"/>
  <c r="I338" i="5"/>
  <c r="B338" i="5"/>
  <c r="I337" i="5"/>
  <c r="B337" i="5"/>
  <c r="I336" i="5"/>
  <c r="B336" i="5"/>
  <c r="I335" i="5"/>
  <c r="B335" i="5"/>
  <c r="I334" i="5"/>
  <c r="B334" i="5"/>
  <c r="I333" i="5"/>
  <c r="B333" i="5"/>
  <c r="I332" i="5"/>
  <c r="B332" i="5"/>
  <c r="I331" i="5"/>
  <c r="B331" i="5"/>
  <c r="I330" i="5"/>
  <c r="B330" i="5"/>
  <c r="I329" i="5"/>
  <c r="B329" i="5"/>
  <c r="I328" i="5"/>
  <c r="B328" i="5"/>
  <c r="I327" i="5"/>
  <c r="B327" i="5"/>
  <c r="I326" i="5"/>
  <c r="B326" i="5"/>
  <c r="I325" i="5"/>
  <c r="B325" i="5"/>
  <c r="I324" i="5"/>
  <c r="B324" i="5"/>
  <c r="I323" i="5"/>
  <c r="B323" i="5"/>
  <c r="I322" i="5"/>
  <c r="B322" i="5"/>
  <c r="I321" i="5"/>
  <c r="B321" i="5"/>
  <c r="I320" i="5"/>
  <c r="B320" i="5"/>
  <c r="I319" i="5"/>
  <c r="B319" i="5"/>
  <c r="I318" i="5"/>
  <c r="B318" i="5"/>
  <c r="I317" i="5"/>
  <c r="B317" i="5"/>
  <c r="I316" i="5"/>
  <c r="B316" i="5"/>
  <c r="I315" i="5"/>
  <c r="B315" i="5"/>
  <c r="I314" i="5"/>
  <c r="B314" i="5"/>
  <c r="I313" i="5"/>
  <c r="B313" i="5"/>
  <c r="I312" i="5"/>
  <c r="B312" i="5"/>
  <c r="I311" i="5"/>
  <c r="B311" i="5"/>
  <c r="I310" i="5"/>
  <c r="B310" i="5"/>
  <c r="I309" i="5"/>
  <c r="B309" i="5"/>
  <c r="I308" i="5"/>
  <c r="B308" i="5"/>
  <c r="I307" i="5"/>
  <c r="B307" i="5"/>
  <c r="I306" i="5"/>
  <c r="B306" i="5"/>
  <c r="I305" i="5"/>
  <c r="B305" i="5"/>
  <c r="I304" i="5"/>
  <c r="B304" i="5"/>
  <c r="I303" i="5"/>
  <c r="B303" i="5"/>
  <c r="I302" i="5"/>
  <c r="B302" i="5"/>
  <c r="I301" i="5"/>
  <c r="B301" i="5"/>
  <c r="I300" i="5"/>
  <c r="B300" i="5"/>
  <c r="I299" i="5"/>
  <c r="B299" i="5"/>
  <c r="I298" i="5"/>
  <c r="B298" i="5"/>
  <c r="I297" i="5"/>
  <c r="B297" i="5"/>
  <c r="I296" i="5"/>
  <c r="B296" i="5"/>
  <c r="I295" i="5"/>
  <c r="B295" i="5"/>
  <c r="I294" i="5"/>
  <c r="B294" i="5"/>
  <c r="I293" i="5"/>
  <c r="B293" i="5"/>
  <c r="I292" i="5"/>
  <c r="B292" i="5"/>
  <c r="I291" i="5"/>
  <c r="B291" i="5"/>
  <c r="I290" i="5"/>
  <c r="B290" i="5"/>
  <c r="I289" i="5"/>
  <c r="B289" i="5"/>
  <c r="I288" i="5"/>
  <c r="B288" i="5"/>
  <c r="I287" i="5"/>
  <c r="B287" i="5"/>
  <c r="I286" i="5"/>
  <c r="B286" i="5"/>
  <c r="I285" i="5"/>
  <c r="B285" i="5"/>
  <c r="I284" i="5"/>
  <c r="B284" i="5"/>
  <c r="I283" i="5"/>
  <c r="B283" i="5"/>
  <c r="I282" i="5"/>
  <c r="B282" i="5"/>
  <c r="I281" i="5"/>
  <c r="B281" i="5"/>
  <c r="I280" i="5"/>
  <c r="B280" i="5"/>
  <c r="I279" i="5"/>
  <c r="B279" i="5"/>
  <c r="I278" i="5"/>
  <c r="B278" i="5"/>
  <c r="I277" i="5"/>
  <c r="B277" i="5"/>
  <c r="I276" i="5"/>
  <c r="B276" i="5"/>
  <c r="I275" i="5"/>
  <c r="B275" i="5"/>
  <c r="I274" i="5"/>
  <c r="B274" i="5"/>
  <c r="I273" i="5"/>
  <c r="B273" i="5"/>
  <c r="I272" i="5"/>
  <c r="B272" i="5"/>
  <c r="I271" i="5"/>
  <c r="B271" i="5"/>
  <c r="I270" i="5"/>
  <c r="B270" i="5"/>
  <c r="I269" i="5"/>
  <c r="B269" i="5"/>
  <c r="I268" i="5"/>
  <c r="B268" i="5"/>
  <c r="I267" i="5"/>
  <c r="B267" i="5"/>
  <c r="I266" i="5"/>
  <c r="B266" i="5"/>
  <c r="I265" i="5"/>
  <c r="B265" i="5"/>
  <c r="I264" i="5"/>
  <c r="B264" i="5"/>
  <c r="I263" i="5"/>
  <c r="B263" i="5"/>
  <c r="I262" i="5"/>
  <c r="B262" i="5"/>
  <c r="I261" i="5"/>
  <c r="B261" i="5"/>
  <c r="I260" i="5"/>
  <c r="B260" i="5"/>
  <c r="I259" i="5"/>
  <c r="B259" i="5"/>
  <c r="I258" i="5"/>
  <c r="B258" i="5"/>
  <c r="I257" i="5"/>
  <c r="B257" i="5"/>
  <c r="I256" i="5"/>
  <c r="B256" i="5"/>
  <c r="I255" i="5"/>
  <c r="B255" i="5"/>
  <c r="I254" i="5"/>
  <c r="B254" i="5"/>
  <c r="I253" i="5"/>
  <c r="B253" i="5"/>
  <c r="I252" i="5"/>
  <c r="B252" i="5"/>
  <c r="I251" i="5"/>
  <c r="B251" i="5"/>
  <c r="I250" i="5"/>
  <c r="B250" i="5"/>
  <c r="I249" i="5"/>
  <c r="B249" i="5"/>
  <c r="I248" i="5"/>
  <c r="B248" i="5"/>
  <c r="I247" i="5"/>
  <c r="B247" i="5"/>
  <c r="I246" i="5"/>
  <c r="B246" i="5"/>
  <c r="I245" i="5"/>
  <c r="B245" i="5"/>
  <c r="I244" i="5"/>
  <c r="B244" i="5"/>
  <c r="I243" i="5"/>
  <c r="B243" i="5"/>
  <c r="I242" i="5"/>
  <c r="B242" i="5"/>
  <c r="I241" i="5"/>
  <c r="B241" i="5"/>
  <c r="I240" i="5"/>
  <c r="B240" i="5"/>
  <c r="I239" i="5"/>
  <c r="B239" i="5"/>
  <c r="I238" i="5"/>
  <c r="B238" i="5"/>
  <c r="I237" i="5"/>
  <c r="B237" i="5"/>
  <c r="I236" i="5"/>
  <c r="B236" i="5"/>
  <c r="I235" i="5"/>
  <c r="B235" i="5"/>
  <c r="I234" i="5"/>
  <c r="B234" i="5"/>
  <c r="I233" i="5"/>
  <c r="B233" i="5"/>
  <c r="I232" i="5"/>
  <c r="B232" i="5"/>
  <c r="I231" i="5"/>
  <c r="B231" i="5"/>
  <c r="I230" i="5"/>
  <c r="B230" i="5"/>
  <c r="I229" i="5"/>
  <c r="B229" i="5"/>
  <c r="I228" i="5"/>
  <c r="B228" i="5"/>
  <c r="I227" i="5"/>
  <c r="B227" i="5"/>
  <c r="I226" i="5"/>
  <c r="B226" i="5"/>
  <c r="I225" i="5"/>
  <c r="B225" i="5"/>
  <c r="I224" i="5"/>
  <c r="B224" i="5"/>
  <c r="I223" i="5"/>
  <c r="B223" i="5"/>
  <c r="I222" i="5"/>
  <c r="B222" i="5"/>
  <c r="I221" i="5"/>
  <c r="B221" i="5"/>
  <c r="I220" i="5"/>
  <c r="B220" i="5"/>
  <c r="I219" i="5"/>
  <c r="B219" i="5"/>
  <c r="I218" i="5"/>
  <c r="B218" i="5"/>
  <c r="I217" i="5"/>
  <c r="B217" i="5"/>
  <c r="I216" i="5"/>
  <c r="B216" i="5"/>
  <c r="I215" i="5"/>
  <c r="B215" i="5"/>
  <c r="I214" i="5"/>
  <c r="B214" i="5"/>
  <c r="I213" i="5"/>
  <c r="B213" i="5"/>
  <c r="I212" i="5"/>
  <c r="B212" i="5"/>
  <c r="I211" i="5"/>
  <c r="B211" i="5"/>
  <c r="I210" i="5"/>
  <c r="B210" i="5"/>
  <c r="I209" i="5"/>
  <c r="B209" i="5"/>
  <c r="I208" i="5"/>
  <c r="B208" i="5"/>
  <c r="I207" i="5"/>
  <c r="B207" i="5"/>
  <c r="I206" i="5"/>
  <c r="B206" i="5"/>
  <c r="I205" i="5"/>
  <c r="B205" i="5"/>
  <c r="I204" i="5"/>
  <c r="B204" i="5"/>
  <c r="I203" i="5"/>
  <c r="B203" i="5"/>
  <c r="I202" i="5"/>
  <c r="B202" i="5"/>
  <c r="I201" i="5"/>
  <c r="B201" i="5"/>
  <c r="I200" i="5"/>
  <c r="B200" i="5"/>
  <c r="I199" i="5"/>
  <c r="B199" i="5"/>
  <c r="I198" i="5"/>
  <c r="B198" i="5"/>
  <c r="I197" i="5"/>
  <c r="B197" i="5"/>
  <c r="I196" i="5"/>
  <c r="B196" i="5"/>
  <c r="I195" i="5"/>
  <c r="B195" i="5"/>
  <c r="I194" i="5"/>
  <c r="B194" i="5"/>
  <c r="I193" i="5"/>
  <c r="B193" i="5"/>
  <c r="I192" i="5"/>
  <c r="B192" i="5"/>
  <c r="I191" i="5"/>
  <c r="B191" i="5"/>
  <c r="I190" i="5"/>
  <c r="B190" i="5"/>
  <c r="I189" i="5"/>
  <c r="B189" i="5"/>
  <c r="I188" i="5"/>
  <c r="B188" i="5"/>
  <c r="I187" i="5"/>
  <c r="B187" i="5"/>
  <c r="I186" i="5"/>
  <c r="B186" i="5"/>
  <c r="I185" i="5"/>
  <c r="B185" i="5"/>
  <c r="I184" i="5"/>
  <c r="B184" i="5"/>
  <c r="I183" i="5"/>
  <c r="B183" i="5"/>
  <c r="I182" i="5"/>
  <c r="B182" i="5"/>
  <c r="I181" i="5"/>
  <c r="B181" i="5"/>
  <c r="I180" i="5"/>
  <c r="B180" i="5"/>
  <c r="I179" i="5"/>
  <c r="B179" i="5"/>
  <c r="I178" i="5"/>
  <c r="B178" i="5"/>
  <c r="I177" i="5"/>
  <c r="B177" i="5"/>
  <c r="I176" i="5"/>
  <c r="B176" i="5"/>
  <c r="I175" i="5"/>
  <c r="B175" i="5"/>
  <c r="I174" i="5"/>
  <c r="B174" i="5"/>
  <c r="I173" i="5"/>
  <c r="B173" i="5"/>
  <c r="I172" i="5"/>
  <c r="B172" i="5"/>
  <c r="I171" i="5"/>
  <c r="B171" i="5"/>
  <c r="I170" i="5"/>
  <c r="B170" i="5"/>
  <c r="I169" i="5"/>
  <c r="B169" i="5"/>
  <c r="I168" i="5"/>
  <c r="B168" i="5"/>
  <c r="I167" i="5"/>
  <c r="B167" i="5"/>
  <c r="I166" i="5"/>
  <c r="B166" i="5"/>
  <c r="I165" i="5"/>
  <c r="B165" i="5"/>
  <c r="I164" i="5"/>
  <c r="B164" i="5"/>
  <c r="I163" i="5"/>
  <c r="B163" i="5"/>
  <c r="I162" i="5"/>
  <c r="B162" i="5"/>
  <c r="I161" i="5"/>
  <c r="B161" i="5"/>
  <c r="I160" i="5"/>
  <c r="B160" i="5"/>
  <c r="I159" i="5"/>
  <c r="B159" i="5"/>
  <c r="I158" i="5"/>
  <c r="B158" i="5"/>
  <c r="I157" i="5"/>
  <c r="B157" i="5"/>
  <c r="I156" i="5"/>
  <c r="B156" i="5"/>
  <c r="I155" i="5"/>
  <c r="B155" i="5"/>
  <c r="I154" i="5"/>
  <c r="B154" i="5"/>
  <c r="I153" i="5"/>
  <c r="B153" i="5"/>
  <c r="I152" i="5"/>
  <c r="B152" i="5"/>
  <c r="I151" i="5"/>
  <c r="B151" i="5"/>
  <c r="I150" i="5"/>
  <c r="B150" i="5"/>
  <c r="I149" i="5"/>
  <c r="B149" i="5"/>
  <c r="I148" i="5"/>
  <c r="B148" i="5"/>
  <c r="I147" i="5"/>
  <c r="B147" i="5"/>
  <c r="I146" i="5"/>
  <c r="B146" i="5"/>
  <c r="I145" i="5"/>
  <c r="B145" i="5"/>
  <c r="I144" i="5"/>
  <c r="B144" i="5"/>
  <c r="I143" i="5"/>
  <c r="B143" i="5"/>
  <c r="I142" i="5"/>
  <c r="B142" i="5"/>
  <c r="I141" i="5"/>
  <c r="B141" i="5"/>
  <c r="I140" i="5"/>
  <c r="B140" i="5"/>
  <c r="I139" i="5"/>
  <c r="B139" i="5"/>
  <c r="I138" i="5"/>
  <c r="B138" i="5"/>
  <c r="I137" i="5"/>
  <c r="B137" i="5"/>
  <c r="I136" i="5"/>
  <c r="B136" i="5"/>
  <c r="I135" i="5"/>
  <c r="B135" i="5"/>
  <c r="I134" i="5"/>
  <c r="B134" i="5"/>
  <c r="I133" i="5"/>
  <c r="B133" i="5"/>
  <c r="I132" i="5"/>
  <c r="B132" i="5"/>
  <c r="I131" i="5"/>
  <c r="B131" i="5"/>
  <c r="I130" i="5"/>
  <c r="B130" i="5"/>
  <c r="I129" i="5"/>
  <c r="B129" i="5"/>
  <c r="I128" i="5"/>
  <c r="B128" i="5"/>
  <c r="I127" i="5"/>
  <c r="B127" i="5"/>
  <c r="I126" i="5"/>
  <c r="B126" i="5"/>
  <c r="I125" i="5"/>
  <c r="B125" i="5"/>
  <c r="I124" i="5"/>
  <c r="B124" i="5"/>
  <c r="I123" i="5"/>
  <c r="B123" i="5"/>
  <c r="I122" i="5"/>
  <c r="B122" i="5"/>
  <c r="I121" i="5"/>
  <c r="B121" i="5"/>
  <c r="I120" i="5"/>
  <c r="B120" i="5"/>
  <c r="I119" i="5"/>
  <c r="B119" i="5"/>
  <c r="I118" i="5"/>
  <c r="B118" i="5"/>
  <c r="I117" i="5"/>
  <c r="B117" i="5"/>
  <c r="I116" i="5"/>
  <c r="B116" i="5"/>
  <c r="I115" i="5"/>
  <c r="B115" i="5"/>
  <c r="I114" i="5"/>
  <c r="B114" i="5"/>
  <c r="I113" i="5"/>
  <c r="B113" i="5"/>
  <c r="I112" i="5"/>
  <c r="B112" i="5"/>
  <c r="I111" i="5"/>
  <c r="B111" i="5"/>
  <c r="I110" i="5"/>
  <c r="B110" i="5"/>
  <c r="I109" i="5"/>
  <c r="B109" i="5"/>
  <c r="I108" i="5"/>
  <c r="B108" i="5"/>
  <c r="I107" i="5"/>
  <c r="B107" i="5"/>
  <c r="I106" i="5"/>
  <c r="B106" i="5"/>
  <c r="I105" i="5"/>
  <c r="B105" i="5"/>
  <c r="I104" i="5"/>
  <c r="B104" i="5"/>
  <c r="I103" i="5"/>
  <c r="B103" i="5"/>
  <c r="I102" i="5"/>
  <c r="B102" i="5"/>
  <c r="I101" i="5"/>
  <c r="B101" i="5"/>
  <c r="I100" i="5"/>
  <c r="B100" i="5"/>
  <c r="I99" i="5"/>
  <c r="B99" i="5"/>
  <c r="I98" i="5"/>
  <c r="B98" i="5"/>
  <c r="I97" i="5"/>
  <c r="B97" i="5"/>
  <c r="I96" i="5"/>
  <c r="B96" i="5"/>
  <c r="I95" i="5"/>
  <c r="B95" i="5"/>
  <c r="I94" i="5"/>
  <c r="B94" i="5"/>
  <c r="I93" i="5"/>
  <c r="B93" i="5"/>
  <c r="I92" i="5"/>
  <c r="B92" i="5"/>
  <c r="I91" i="5"/>
  <c r="B91" i="5"/>
  <c r="I90" i="5"/>
  <c r="B90" i="5"/>
  <c r="I89" i="5"/>
  <c r="B89" i="5"/>
  <c r="I88" i="5"/>
  <c r="B88" i="5"/>
  <c r="I87" i="5"/>
  <c r="B87" i="5"/>
  <c r="I86" i="5"/>
  <c r="B86" i="5"/>
  <c r="I85" i="5"/>
  <c r="B85" i="5"/>
  <c r="I84" i="5"/>
  <c r="B84" i="5"/>
  <c r="I83" i="5"/>
  <c r="B83" i="5"/>
  <c r="I82" i="5"/>
  <c r="B82" i="5"/>
  <c r="I81" i="5"/>
  <c r="B81" i="5"/>
  <c r="I80" i="5"/>
  <c r="B80" i="5"/>
  <c r="I79" i="5"/>
  <c r="B79" i="5"/>
  <c r="I78" i="5"/>
  <c r="B78" i="5"/>
  <c r="I77" i="5"/>
  <c r="B77" i="5"/>
  <c r="I76" i="5"/>
  <c r="B76" i="5"/>
  <c r="I75" i="5"/>
  <c r="B75" i="5"/>
  <c r="I74" i="5"/>
  <c r="B74" i="5"/>
  <c r="I73" i="5"/>
  <c r="B73" i="5"/>
  <c r="I72" i="5"/>
  <c r="B72" i="5"/>
  <c r="I71" i="5"/>
  <c r="B71" i="5"/>
  <c r="I70" i="5"/>
  <c r="B70" i="5"/>
  <c r="I69" i="5"/>
  <c r="B69" i="5"/>
  <c r="I68" i="5"/>
  <c r="B68" i="5"/>
  <c r="I67" i="5"/>
  <c r="B67" i="5"/>
  <c r="I66" i="5"/>
  <c r="B66" i="5"/>
  <c r="I65" i="5"/>
  <c r="B65" i="5"/>
  <c r="I64" i="5"/>
  <c r="B64" i="5"/>
  <c r="I63" i="5"/>
  <c r="B63" i="5"/>
  <c r="I62" i="5"/>
  <c r="B62" i="5"/>
  <c r="I61" i="5"/>
  <c r="B61" i="5"/>
  <c r="I60" i="5"/>
  <c r="B60" i="5"/>
  <c r="I59" i="5"/>
  <c r="B59" i="5"/>
  <c r="I58" i="5"/>
  <c r="B58" i="5"/>
  <c r="I57" i="5"/>
  <c r="B57" i="5"/>
  <c r="I56" i="5"/>
  <c r="B56" i="5"/>
  <c r="I55" i="5"/>
  <c r="B55" i="5"/>
  <c r="I54" i="5"/>
  <c r="B54" i="5"/>
  <c r="I53" i="5"/>
  <c r="B53" i="5"/>
  <c r="I52" i="5"/>
  <c r="B52" i="5"/>
  <c r="I51" i="5"/>
  <c r="B51" i="5"/>
  <c r="I50" i="5"/>
  <c r="B50" i="5"/>
  <c r="I49" i="5"/>
  <c r="B49" i="5"/>
  <c r="I48" i="5"/>
  <c r="B48" i="5"/>
  <c r="I47" i="5"/>
  <c r="B47" i="5"/>
  <c r="I46" i="5"/>
  <c r="B46" i="5"/>
  <c r="I45" i="5"/>
  <c r="B45" i="5"/>
  <c r="I44" i="5"/>
  <c r="B44" i="5"/>
  <c r="I43" i="5"/>
  <c r="B43" i="5"/>
  <c r="I42" i="5"/>
  <c r="B42" i="5"/>
  <c r="I41" i="5"/>
  <c r="B41" i="5"/>
  <c r="I40" i="5"/>
  <c r="B40" i="5"/>
  <c r="I39" i="5"/>
  <c r="B39" i="5"/>
  <c r="I38" i="5"/>
  <c r="B38" i="5"/>
  <c r="I37" i="5"/>
  <c r="B37" i="5"/>
  <c r="I36" i="5"/>
  <c r="B36" i="5"/>
  <c r="I35" i="5"/>
  <c r="B35" i="5"/>
  <c r="I34" i="5"/>
  <c r="B34" i="5"/>
  <c r="I33" i="5"/>
  <c r="B33" i="5"/>
  <c r="I32" i="5"/>
  <c r="B32" i="5"/>
  <c r="I31" i="5"/>
  <c r="B31" i="5"/>
  <c r="I30" i="5"/>
  <c r="B30" i="5"/>
  <c r="I29" i="5"/>
  <c r="B29" i="5"/>
  <c r="I28" i="5"/>
  <c r="B28" i="5"/>
  <c r="I27" i="5"/>
  <c r="B27" i="5"/>
  <c r="I26" i="5"/>
  <c r="B26" i="5"/>
  <c r="I25" i="5"/>
  <c r="B25" i="5"/>
  <c r="I24" i="5"/>
  <c r="B24" i="5"/>
  <c r="I23" i="5"/>
  <c r="B23" i="5"/>
  <c r="I22" i="5"/>
  <c r="B22" i="5"/>
  <c r="I21" i="5"/>
  <c r="B21" i="5"/>
  <c r="I20" i="5"/>
  <c r="B20" i="5"/>
  <c r="I19" i="5"/>
  <c r="B19" i="5"/>
  <c r="I18" i="5"/>
  <c r="B18" i="5"/>
  <c r="I17" i="5"/>
  <c r="B17" i="5"/>
  <c r="I16" i="5"/>
  <c r="B16" i="5"/>
  <c r="I15" i="5"/>
  <c r="B15" i="5"/>
  <c r="I14" i="5"/>
  <c r="B14" i="5"/>
  <c r="I13" i="5"/>
  <c r="B13" i="5"/>
  <c r="I12" i="5"/>
  <c r="B12" i="5"/>
  <c r="I11" i="5"/>
  <c r="B11" i="5"/>
  <c r="I10" i="5"/>
  <c r="B10" i="5"/>
  <c r="I9" i="5"/>
  <c r="B9" i="5"/>
  <c r="I8" i="5"/>
  <c r="B8" i="5"/>
  <c r="I7" i="5"/>
  <c r="B7" i="5"/>
  <c r="I6" i="5"/>
  <c r="B6" i="5"/>
  <c r="I5" i="5"/>
  <c r="B5" i="5"/>
  <c r="I4" i="5"/>
  <c r="B4" i="5"/>
  <c r="I3" i="5"/>
  <c r="B3" i="5"/>
  <c r="I2" i="5"/>
  <c r="B2" i="5"/>
  <c r="G500" i="4"/>
  <c r="I500" i="4" s="1"/>
  <c r="B500" i="4"/>
  <c r="G499" i="4"/>
  <c r="I499" i="4" s="1"/>
  <c r="B499" i="4"/>
  <c r="G498" i="4"/>
  <c r="I498" i="4" s="1"/>
  <c r="B498" i="4"/>
  <c r="G497" i="4"/>
  <c r="I497" i="4" s="1"/>
  <c r="B497" i="4"/>
  <c r="G496" i="4"/>
  <c r="I496" i="4" s="1"/>
  <c r="B496" i="4"/>
  <c r="G495" i="4"/>
  <c r="I495" i="4" s="1"/>
  <c r="B495" i="4"/>
  <c r="G494" i="4"/>
  <c r="I494" i="4" s="1"/>
  <c r="B494" i="4"/>
  <c r="G493" i="4"/>
  <c r="I493" i="4" s="1"/>
  <c r="B493" i="4"/>
  <c r="G492" i="4"/>
  <c r="I492" i="4" s="1"/>
  <c r="B492" i="4"/>
  <c r="G491" i="4"/>
  <c r="I491" i="4" s="1"/>
  <c r="B491" i="4"/>
  <c r="G490" i="4"/>
  <c r="I490" i="4" s="1"/>
  <c r="B490" i="4"/>
  <c r="G489" i="4"/>
  <c r="I489" i="4" s="1"/>
  <c r="B489" i="4"/>
  <c r="G488" i="4"/>
  <c r="I488" i="4" s="1"/>
  <c r="B488" i="4"/>
  <c r="G487" i="4"/>
  <c r="I487" i="4" s="1"/>
  <c r="B487" i="4"/>
  <c r="G486" i="4"/>
  <c r="I486" i="4" s="1"/>
  <c r="B486" i="4"/>
  <c r="G485" i="4"/>
  <c r="I485" i="4" s="1"/>
  <c r="B485" i="4"/>
  <c r="G484" i="4"/>
  <c r="I484" i="4" s="1"/>
  <c r="B484" i="4"/>
  <c r="G483" i="4"/>
  <c r="I483" i="4" s="1"/>
  <c r="B483" i="4"/>
  <c r="G482" i="4"/>
  <c r="I482" i="4" s="1"/>
  <c r="B482" i="4"/>
  <c r="G481" i="4"/>
  <c r="I481" i="4" s="1"/>
  <c r="B481" i="4"/>
  <c r="G480" i="4"/>
  <c r="I480" i="4" s="1"/>
  <c r="B480" i="4"/>
  <c r="G479" i="4"/>
  <c r="I479" i="4" s="1"/>
  <c r="B479" i="4"/>
  <c r="G478" i="4"/>
  <c r="I478" i="4" s="1"/>
  <c r="B478" i="4"/>
  <c r="G477" i="4"/>
  <c r="I477" i="4" s="1"/>
  <c r="B477" i="4"/>
  <c r="G476" i="4"/>
  <c r="I476" i="4" s="1"/>
  <c r="B476" i="4"/>
  <c r="G475" i="4"/>
  <c r="I475" i="4" s="1"/>
  <c r="B475" i="4"/>
  <c r="G474" i="4"/>
  <c r="I474" i="4" s="1"/>
  <c r="B474" i="4"/>
  <c r="G473" i="4"/>
  <c r="I473" i="4" s="1"/>
  <c r="B473" i="4"/>
  <c r="G472" i="4"/>
  <c r="I472" i="4" s="1"/>
  <c r="B472" i="4"/>
  <c r="G471" i="4"/>
  <c r="I471" i="4" s="1"/>
  <c r="B471" i="4"/>
  <c r="G470" i="4"/>
  <c r="I470" i="4" s="1"/>
  <c r="B470" i="4"/>
  <c r="G469" i="4"/>
  <c r="I469" i="4" s="1"/>
  <c r="B469" i="4"/>
  <c r="G468" i="4"/>
  <c r="I468" i="4" s="1"/>
  <c r="B468" i="4"/>
  <c r="G467" i="4"/>
  <c r="I467" i="4" s="1"/>
  <c r="B467" i="4"/>
  <c r="G466" i="4"/>
  <c r="I466" i="4" s="1"/>
  <c r="B466" i="4"/>
  <c r="G465" i="4"/>
  <c r="I465" i="4" s="1"/>
  <c r="B465" i="4"/>
  <c r="G464" i="4"/>
  <c r="I464" i="4" s="1"/>
  <c r="B464" i="4"/>
  <c r="G463" i="4"/>
  <c r="I463" i="4" s="1"/>
  <c r="B463" i="4"/>
  <c r="G462" i="4"/>
  <c r="I462" i="4" s="1"/>
  <c r="B462" i="4"/>
  <c r="G461" i="4"/>
  <c r="I461" i="4" s="1"/>
  <c r="B461" i="4"/>
  <c r="G460" i="4"/>
  <c r="I460" i="4" s="1"/>
  <c r="B460" i="4"/>
  <c r="G459" i="4"/>
  <c r="I459" i="4" s="1"/>
  <c r="B459" i="4"/>
  <c r="G458" i="4"/>
  <c r="I458" i="4" s="1"/>
  <c r="B458" i="4"/>
  <c r="G457" i="4"/>
  <c r="I457" i="4" s="1"/>
  <c r="B457" i="4"/>
  <c r="G456" i="4"/>
  <c r="I456" i="4" s="1"/>
  <c r="B456" i="4"/>
  <c r="G455" i="4"/>
  <c r="I455" i="4" s="1"/>
  <c r="B455" i="4"/>
  <c r="G454" i="4"/>
  <c r="I454" i="4" s="1"/>
  <c r="B454" i="4"/>
  <c r="G453" i="4"/>
  <c r="I453" i="4" s="1"/>
  <c r="B453" i="4"/>
  <c r="G452" i="4"/>
  <c r="I452" i="4" s="1"/>
  <c r="B452" i="4"/>
  <c r="G451" i="4"/>
  <c r="I451" i="4" s="1"/>
  <c r="B451" i="4"/>
  <c r="G450" i="4"/>
  <c r="I450" i="4" s="1"/>
  <c r="B450" i="4"/>
  <c r="G449" i="4"/>
  <c r="I449" i="4" s="1"/>
  <c r="B449" i="4"/>
  <c r="G448" i="4"/>
  <c r="I448" i="4" s="1"/>
  <c r="B448" i="4"/>
  <c r="G447" i="4"/>
  <c r="I447" i="4" s="1"/>
  <c r="B447" i="4"/>
  <c r="G446" i="4"/>
  <c r="I446" i="4" s="1"/>
  <c r="B446" i="4"/>
  <c r="G445" i="4"/>
  <c r="I445" i="4" s="1"/>
  <c r="B445" i="4"/>
  <c r="G444" i="4"/>
  <c r="I444" i="4" s="1"/>
  <c r="B444" i="4"/>
  <c r="G443" i="4"/>
  <c r="I443" i="4" s="1"/>
  <c r="B443" i="4"/>
  <c r="G442" i="4"/>
  <c r="I442" i="4" s="1"/>
  <c r="B442" i="4"/>
  <c r="G441" i="4"/>
  <c r="I441" i="4" s="1"/>
  <c r="B441" i="4"/>
  <c r="G440" i="4"/>
  <c r="I440" i="4" s="1"/>
  <c r="B440" i="4"/>
  <c r="G439" i="4"/>
  <c r="I439" i="4" s="1"/>
  <c r="B439" i="4"/>
  <c r="G438" i="4"/>
  <c r="I438" i="4" s="1"/>
  <c r="B438" i="4"/>
  <c r="G437" i="4"/>
  <c r="I437" i="4" s="1"/>
  <c r="B437" i="4"/>
  <c r="G436" i="4"/>
  <c r="I436" i="4" s="1"/>
  <c r="B436" i="4"/>
  <c r="G435" i="4"/>
  <c r="I435" i="4" s="1"/>
  <c r="B435" i="4"/>
  <c r="G434" i="4"/>
  <c r="I434" i="4" s="1"/>
  <c r="B434" i="4"/>
  <c r="G433" i="4"/>
  <c r="I433" i="4" s="1"/>
  <c r="B433" i="4"/>
  <c r="G432" i="4"/>
  <c r="I432" i="4" s="1"/>
  <c r="B432" i="4"/>
  <c r="G431" i="4"/>
  <c r="I431" i="4" s="1"/>
  <c r="B431" i="4"/>
  <c r="G430" i="4"/>
  <c r="I430" i="4" s="1"/>
  <c r="B430" i="4"/>
  <c r="G429" i="4"/>
  <c r="I429" i="4" s="1"/>
  <c r="B429" i="4"/>
  <c r="G428" i="4"/>
  <c r="I428" i="4" s="1"/>
  <c r="B428" i="4"/>
  <c r="G427" i="4"/>
  <c r="I427" i="4" s="1"/>
  <c r="B427" i="4"/>
  <c r="G426" i="4"/>
  <c r="I426" i="4" s="1"/>
  <c r="B426" i="4"/>
  <c r="G425" i="4"/>
  <c r="I425" i="4" s="1"/>
  <c r="B425" i="4"/>
  <c r="G424" i="4"/>
  <c r="I424" i="4" s="1"/>
  <c r="B424" i="4"/>
  <c r="G423" i="4"/>
  <c r="I423" i="4" s="1"/>
  <c r="B423" i="4"/>
  <c r="G422" i="4"/>
  <c r="I422" i="4" s="1"/>
  <c r="B422" i="4"/>
  <c r="G421" i="4"/>
  <c r="I421" i="4" s="1"/>
  <c r="B421" i="4"/>
  <c r="G420" i="4"/>
  <c r="I420" i="4" s="1"/>
  <c r="B420" i="4"/>
  <c r="G419" i="4"/>
  <c r="I419" i="4" s="1"/>
  <c r="B419" i="4"/>
  <c r="G418" i="4"/>
  <c r="I418" i="4" s="1"/>
  <c r="B418" i="4"/>
  <c r="G417" i="4"/>
  <c r="I417" i="4" s="1"/>
  <c r="B417" i="4"/>
  <c r="G416" i="4"/>
  <c r="I416" i="4" s="1"/>
  <c r="B416" i="4"/>
  <c r="G415" i="4"/>
  <c r="I415" i="4" s="1"/>
  <c r="B415" i="4"/>
  <c r="G414" i="4"/>
  <c r="I414" i="4" s="1"/>
  <c r="B414" i="4"/>
  <c r="G413" i="4"/>
  <c r="I413" i="4" s="1"/>
  <c r="B413" i="4"/>
  <c r="G412" i="4"/>
  <c r="I412" i="4" s="1"/>
  <c r="B412" i="4"/>
  <c r="G411" i="4"/>
  <c r="I411" i="4" s="1"/>
  <c r="B411" i="4"/>
  <c r="G410" i="4"/>
  <c r="I410" i="4" s="1"/>
  <c r="B410" i="4"/>
  <c r="G409" i="4"/>
  <c r="I409" i="4" s="1"/>
  <c r="B409" i="4"/>
  <c r="G408" i="4"/>
  <c r="I408" i="4" s="1"/>
  <c r="B408" i="4"/>
  <c r="G407" i="4"/>
  <c r="I407" i="4" s="1"/>
  <c r="B407" i="4"/>
  <c r="G406" i="4"/>
  <c r="I406" i="4" s="1"/>
  <c r="B406" i="4"/>
  <c r="G405" i="4"/>
  <c r="I405" i="4" s="1"/>
  <c r="B405" i="4"/>
  <c r="G404" i="4"/>
  <c r="I404" i="4" s="1"/>
  <c r="B404" i="4"/>
  <c r="G403" i="4"/>
  <c r="I403" i="4" s="1"/>
  <c r="B403" i="4"/>
  <c r="G402" i="4"/>
  <c r="I402" i="4" s="1"/>
  <c r="B402" i="4"/>
  <c r="G401" i="4"/>
  <c r="I401" i="4" s="1"/>
  <c r="B401" i="4"/>
  <c r="G400" i="4"/>
  <c r="I400" i="4" s="1"/>
  <c r="B400" i="4"/>
  <c r="G399" i="4"/>
  <c r="I399" i="4" s="1"/>
  <c r="B399" i="4"/>
  <c r="G398" i="4"/>
  <c r="I398" i="4" s="1"/>
  <c r="B398" i="4"/>
  <c r="G397" i="4"/>
  <c r="I397" i="4" s="1"/>
  <c r="B397" i="4"/>
  <c r="G396" i="4"/>
  <c r="I396" i="4" s="1"/>
  <c r="B396" i="4"/>
  <c r="G395" i="4"/>
  <c r="I395" i="4" s="1"/>
  <c r="B395" i="4"/>
  <c r="G394" i="4"/>
  <c r="I394" i="4" s="1"/>
  <c r="B394" i="4"/>
  <c r="G393" i="4"/>
  <c r="I393" i="4" s="1"/>
  <c r="B393" i="4"/>
  <c r="G392" i="4"/>
  <c r="I392" i="4" s="1"/>
  <c r="B392" i="4"/>
  <c r="G391" i="4"/>
  <c r="I391" i="4" s="1"/>
  <c r="B391" i="4"/>
  <c r="G390" i="4"/>
  <c r="I390" i="4" s="1"/>
  <c r="B390" i="4"/>
  <c r="G389" i="4"/>
  <c r="I389" i="4" s="1"/>
  <c r="B389" i="4"/>
  <c r="G388" i="4"/>
  <c r="I388" i="4" s="1"/>
  <c r="B388" i="4"/>
  <c r="G387" i="4"/>
  <c r="I387" i="4" s="1"/>
  <c r="B387" i="4"/>
  <c r="G386" i="4"/>
  <c r="I386" i="4" s="1"/>
  <c r="B386" i="4"/>
  <c r="G385" i="4"/>
  <c r="I385" i="4" s="1"/>
  <c r="B385" i="4"/>
  <c r="G384" i="4"/>
  <c r="I384" i="4" s="1"/>
  <c r="B384" i="4"/>
  <c r="G383" i="4"/>
  <c r="I383" i="4" s="1"/>
  <c r="B383" i="4"/>
  <c r="G382" i="4"/>
  <c r="I382" i="4" s="1"/>
  <c r="B382" i="4"/>
  <c r="G381" i="4"/>
  <c r="I381" i="4" s="1"/>
  <c r="B381" i="4"/>
  <c r="G380" i="4"/>
  <c r="I380" i="4" s="1"/>
  <c r="B380" i="4"/>
  <c r="G379" i="4"/>
  <c r="I379" i="4" s="1"/>
  <c r="B379" i="4"/>
  <c r="G378" i="4"/>
  <c r="I378" i="4" s="1"/>
  <c r="B378" i="4"/>
  <c r="G377" i="4"/>
  <c r="I377" i="4" s="1"/>
  <c r="B377" i="4"/>
  <c r="G376" i="4"/>
  <c r="I376" i="4" s="1"/>
  <c r="B376" i="4"/>
  <c r="G375" i="4"/>
  <c r="I375" i="4" s="1"/>
  <c r="B375" i="4"/>
  <c r="G374" i="4"/>
  <c r="I374" i="4" s="1"/>
  <c r="B374" i="4"/>
  <c r="G373" i="4"/>
  <c r="I373" i="4" s="1"/>
  <c r="B373" i="4"/>
  <c r="G372" i="4"/>
  <c r="I372" i="4" s="1"/>
  <c r="B372" i="4"/>
  <c r="G371" i="4"/>
  <c r="I371" i="4" s="1"/>
  <c r="B371" i="4"/>
  <c r="G370" i="4"/>
  <c r="I370" i="4" s="1"/>
  <c r="B370" i="4"/>
  <c r="G369" i="4"/>
  <c r="I369" i="4" s="1"/>
  <c r="B369" i="4"/>
  <c r="G368" i="4"/>
  <c r="I368" i="4" s="1"/>
  <c r="B368" i="4"/>
  <c r="G367" i="4"/>
  <c r="I367" i="4" s="1"/>
  <c r="B367" i="4"/>
  <c r="G366" i="4"/>
  <c r="I366" i="4" s="1"/>
  <c r="B366" i="4"/>
  <c r="G365" i="4"/>
  <c r="I365" i="4" s="1"/>
  <c r="B365" i="4"/>
  <c r="G364" i="4"/>
  <c r="I364" i="4" s="1"/>
  <c r="B364" i="4"/>
  <c r="G363" i="4"/>
  <c r="I363" i="4" s="1"/>
  <c r="B363" i="4"/>
  <c r="G362" i="4"/>
  <c r="I362" i="4" s="1"/>
  <c r="B362" i="4"/>
  <c r="G361" i="4"/>
  <c r="I361" i="4" s="1"/>
  <c r="B361" i="4"/>
  <c r="G360" i="4"/>
  <c r="I360" i="4" s="1"/>
  <c r="B360" i="4"/>
  <c r="G359" i="4"/>
  <c r="I359" i="4" s="1"/>
  <c r="B359" i="4"/>
  <c r="G358" i="4"/>
  <c r="I358" i="4" s="1"/>
  <c r="B358" i="4"/>
  <c r="G357" i="4"/>
  <c r="I357" i="4" s="1"/>
  <c r="B357" i="4"/>
  <c r="G356" i="4"/>
  <c r="I356" i="4" s="1"/>
  <c r="B356" i="4"/>
  <c r="G355" i="4"/>
  <c r="I355" i="4" s="1"/>
  <c r="B355" i="4"/>
  <c r="G354" i="4"/>
  <c r="I354" i="4" s="1"/>
  <c r="B354" i="4"/>
  <c r="G353" i="4"/>
  <c r="I353" i="4" s="1"/>
  <c r="B353" i="4"/>
  <c r="G352" i="4"/>
  <c r="I352" i="4" s="1"/>
  <c r="B352" i="4"/>
  <c r="G351" i="4"/>
  <c r="I351" i="4" s="1"/>
  <c r="B351" i="4"/>
  <c r="G350" i="4"/>
  <c r="I350" i="4" s="1"/>
  <c r="B350" i="4"/>
  <c r="G349" i="4"/>
  <c r="I349" i="4" s="1"/>
  <c r="B349" i="4"/>
  <c r="G348" i="4"/>
  <c r="I348" i="4" s="1"/>
  <c r="B348" i="4"/>
  <c r="G347" i="4"/>
  <c r="I347" i="4" s="1"/>
  <c r="B347" i="4"/>
  <c r="G346" i="4"/>
  <c r="I346" i="4" s="1"/>
  <c r="B346" i="4"/>
  <c r="G345" i="4"/>
  <c r="I345" i="4" s="1"/>
  <c r="B345" i="4"/>
  <c r="G344" i="4"/>
  <c r="I344" i="4" s="1"/>
  <c r="B344" i="4"/>
  <c r="G343" i="4"/>
  <c r="I343" i="4" s="1"/>
  <c r="B343" i="4"/>
  <c r="G342" i="4"/>
  <c r="I342" i="4" s="1"/>
  <c r="B342" i="4"/>
  <c r="G341" i="4"/>
  <c r="I341" i="4" s="1"/>
  <c r="B341" i="4"/>
  <c r="G340" i="4"/>
  <c r="I340" i="4" s="1"/>
  <c r="B340" i="4"/>
  <c r="G339" i="4"/>
  <c r="I339" i="4" s="1"/>
  <c r="B339" i="4"/>
  <c r="G338" i="4"/>
  <c r="I338" i="4" s="1"/>
  <c r="B338" i="4"/>
  <c r="G337" i="4"/>
  <c r="I337" i="4" s="1"/>
  <c r="B337" i="4"/>
  <c r="G336" i="4"/>
  <c r="I336" i="4" s="1"/>
  <c r="B336" i="4"/>
  <c r="G335" i="4"/>
  <c r="I335" i="4" s="1"/>
  <c r="B335" i="4"/>
  <c r="G334" i="4"/>
  <c r="I334" i="4" s="1"/>
  <c r="B334" i="4"/>
  <c r="G333" i="4"/>
  <c r="I333" i="4" s="1"/>
  <c r="B333" i="4"/>
  <c r="G332" i="4"/>
  <c r="I332" i="4" s="1"/>
  <c r="B332" i="4"/>
  <c r="G331" i="4"/>
  <c r="I331" i="4" s="1"/>
  <c r="B331" i="4"/>
  <c r="G330" i="4"/>
  <c r="I330" i="4" s="1"/>
  <c r="B330" i="4"/>
  <c r="G329" i="4"/>
  <c r="I329" i="4" s="1"/>
  <c r="B329" i="4"/>
  <c r="G328" i="4"/>
  <c r="I328" i="4" s="1"/>
  <c r="B328" i="4"/>
  <c r="G327" i="4"/>
  <c r="I327" i="4" s="1"/>
  <c r="B327" i="4"/>
  <c r="G326" i="4"/>
  <c r="I326" i="4" s="1"/>
  <c r="B326" i="4"/>
  <c r="G325" i="4"/>
  <c r="I325" i="4" s="1"/>
  <c r="B325" i="4"/>
  <c r="G324" i="4"/>
  <c r="I324" i="4" s="1"/>
  <c r="B324" i="4"/>
  <c r="G323" i="4"/>
  <c r="I323" i="4" s="1"/>
  <c r="B323" i="4"/>
  <c r="G322" i="4"/>
  <c r="I322" i="4" s="1"/>
  <c r="B322" i="4"/>
  <c r="G321" i="4"/>
  <c r="I321" i="4" s="1"/>
  <c r="B321" i="4"/>
  <c r="G320" i="4"/>
  <c r="I320" i="4" s="1"/>
  <c r="B320" i="4"/>
  <c r="G319" i="4"/>
  <c r="I319" i="4" s="1"/>
  <c r="B319" i="4"/>
  <c r="G318" i="4"/>
  <c r="I318" i="4" s="1"/>
  <c r="B318" i="4"/>
  <c r="G317" i="4"/>
  <c r="I317" i="4" s="1"/>
  <c r="B317" i="4"/>
  <c r="G316" i="4"/>
  <c r="I316" i="4" s="1"/>
  <c r="B316" i="4"/>
  <c r="G315" i="4"/>
  <c r="I315" i="4" s="1"/>
  <c r="B315" i="4"/>
  <c r="G314" i="4"/>
  <c r="I314" i="4" s="1"/>
  <c r="B314" i="4"/>
  <c r="G313" i="4"/>
  <c r="I313" i="4" s="1"/>
  <c r="B313" i="4"/>
  <c r="G312" i="4"/>
  <c r="I312" i="4" s="1"/>
  <c r="B312" i="4"/>
  <c r="G311" i="4"/>
  <c r="I311" i="4" s="1"/>
  <c r="B311" i="4"/>
  <c r="G310" i="4"/>
  <c r="I310" i="4" s="1"/>
  <c r="B310" i="4"/>
  <c r="G309" i="4"/>
  <c r="I309" i="4" s="1"/>
  <c r="B309" i="4"/>
  <c r="G308" i="4"/>
  <c r="I308" i="4" s="1"/>
  <c r="B308" i="4"/>
  <c r="G307" i="4"/>
  <c r="I307" i="4" s="1"/>
  <c r="B307" i="4"/>
  <c r="G306" i="4"/>
  <c r="I306" i="4" s="1"/>
  <c r="B306" i="4"/>
  <c r="G305" i="4"/>
  <c r="I305" i="4" s="1"/>
  <c r="B305" i="4"/>
  <c r="G304" i="4"/>
  <c r="I304" i="4" s="1"/>
  <c r="B304" i="4"/>
  <c r="G303" i="4"/>
  <c r="I303" i="4" s="1"/>
  <c r="B303" i="4"/>
  <c r="G302" i="4"/>
  <c r="I302" i="4" s="1"/>
  <c r="B302" i="4"/>
  <c r="G301" i="4"/>
  <c r="I301" i="4" s="1"/>
  <c r="B301" i="4"/>
  <c r="G300" i="4"/>
  <c r="I300" i="4" s="1"/>
  <c r="B300" i="4"/>
  <c r="G299" i="4"/>
  <c r="I299" i="4" s="1"/>
  <c r="B299" i="4"/>
  <c r="G298" i="4"/>
  <c r="I298" i="4" s="1"/>
  <c r="B298" i="4"/>
  <c r="G297" i="4"/>
  <c r="I297" i="4" s="1"/>
  <c r="B297" i="4"/>
  <c r="G296" i="4"/>
  <c r="I296" i="4" s="1"/>
  <c r="B296" i="4"/>
  <c r="G295" i="4"/>
  <c r="I295" i="4" s="1"/>
  <c r="B295" i="4"/>
  <c r="G294" i="4"/>
  <c r="I294" i="4" s="1"/>
  <c r="B294" i="4"/>
  <c r="G293" i="4"/>
  <c r="I293" i="4" s="1"/>
  <c r="B293" i="4"/>
  <c r="G292" i="4"/>
  <c r="I292" i="4" s="1"/>
  <c r="B292" i="4"/>
  <c r="G291" i="4"/>
  <c r="I291" i="4" s="1"/>
  <c r="B291" i="4"/>
  <c r="G290" i="4"/>
  <c r="I290" i="4" s="1"/>
  <c r="B290" i="4"/>
  <c r="G289" i="4"/>
  <c r="I289" i="4" s="1"/>
  <c r="B289" i="4"/>
  <c r="G288" i="4"/>
  <c r="I288" i="4" s="1"/>
  <c r="B288" i="4"/>
  <c r="G287" i="4"/>
  <c r="I287" i="4" s="1"/>
  <c r="B287" i="4"/>
  <c r="G286" i="4"/>
  <c r="I286" i="4" s="1"/>
  <c r="B286" i="4"/>
  <c r="G285" i="4"/>
  <c r="I285" i="4" s="1"/>
  <c r="B285" i="4"/>
  <c r="G284" i="4"/>
  <c r="I284" i="4" s="1"/>
  <c r="B284" i="4"/>
  <c r="G283" i="4"/>
  <c r="I283" i="4" s="1"/>
  <c r="B283" i="4"/>
  <c r="G282" i="4"/>
  <c r="I282" i="4" s="1"/>
  <c r="B282" i="4"/>
  <c r="G281" i="4"/>
  <c r="I281" i="4" s="1"/>
  <c r="B281" i="4"/>
  <c r="G280" i="4"/>
  <c r="I280" i="4" s="1"/>
  <c r="B280" i="4"/>
  <c r="G279" i="4"/>
  <c r="I279" i="4" s="1"/>
  <c r="B279" i="4"/>
  <c r="G278" i="4"/>
  <c r="I278" i="4" s="1"/>
  <c r="B278" i="4"/>
  <c r="G277" i="4"/>
  <c r="I277" i="4" s="1"/>
  <c r="B277" i="4"/>
  <c r="G276" i="4"/>
  <c r="I276" i="4" s="1"/>
  <c r="B276" i="4"/>
  <c r="G275" i="4"/>
  <c r="I275" i="4" s="1"/>
  <c r="B275" i="4"/>
  <c r="G274" i="4"/>
  <c r="I274" i="4" s="1"/>
  <c r="B274" i="4"/>
  <c r="G273" i="4"/>
  <c r="I273" i="4" s="1"/>
  <c r="B273" i="4"/>
  <c r="G272" i="4"/>
  <c r="I272" i="4" s="1"/>
  <c r="B272" i="4"/>
  <c r="G271" i="4"/>
  <c r="I271" i="4" s="1"/>
  <c r="B271" i="4"/>
  <c r="G270" i="4"/>
  <c r="I270" i="4" s="1"/>
  <c r="B270" i="4"/>
  <c r="G269" i="4"/>
  <c r="I269" i="4" s="1"/>
  <c r="B269" i="4"/>
  <c r="G268" i="4"/>
  <c r="I268" i="4" s="1"/>
  <c r="B268" i="4"/>
  <c r="G267" i="4"/>
  <c r="I267" i="4" s="1"/>
  <c r="B267" i="4"/>
  <c r="G266" i="4"/>
  <c r="I266" i="4" s="1"/>
  <c r="B266" i="4"/>
  <c r="G265" i="4"/>
  <c r="I265" i="4" s="1"/>
  <c r="B265" i="4"/>
  <c r="G264" i="4"/>
  <c r="I264" i="4" s="1"/>
  <c r="B264" i="4"/>
  <c r="G263" i="4"/>
  <c r="I263" i="4" s="1"/>
  <c r="B263" i="4"/>
  <c r="G262" i="4"/>
  <c r="I262" i="4" s="1"/>
  <c r="B262" i="4"/>
  <c r="G261" i="4"/>
  <c r="I261" i="4" s="1"/>
  <c r="B261" i="4"/>
  <c r="G260" i="4"/>
  <c r="I260" i="4" s="1"/>
  <c r="B260" i="4"/>
  <c r="G259" i="4"/>
  <c r="I259" i="4" s="1"/>
  <c r="B259" i="4"/>
  <c r="G258" i="4"/>
  <c r="I258" i="4" s="1"/>
  <c r="B258" i="4"/>
  <c r="G257" i="4"/>
  <c r="I257" i="4" s="1"/>
  <c r="B257" i="4"/>
  <c r="G256" i="4"/>
  <c r="I256" i="4" s="1"/>
  <c r="B256" i="4"/>
  <c r="G255" i="4"/>
  <c r="I255" i="4" s="1"/>
  <c r="B255" i="4"/>
  <c r="G254" i="4"/>
  <c r="I254" i="4" s="1"/>
  <c r="B254" i="4"/>
  <c r="G253" i="4"/>
  <c r="I253" i="4" s="1"/>
  <c r="B253" i="4"/>
  <c r="G252" i="4"/>
  <c r="I252" i="4" s="1"/>
  <c r="B252" i="4"/>
  <c r="G251" i="4"/>
  <c r="I251" i="4" s="1"/>
  <c r="B251" i="4"/>
  <c r="G250" i="4"/>
  <c r="I250" i="4" s="1"/>
  <c r="B250" i="4"/>
  <c r="G249" i="4"/>
  <c r="I249" i="4" s="1"/>
  <c r="B249" i="4"/>
  <c r="G248" i="4"/>
  <c r="I248" i="4" s="1"/>
  <c r="B248" i="4"/>
  <c r="G247" i="4"/>
  <c r="I247" i="4" s="1"/>
  <c r="B247" i="4"/>
  <c r="G246" i="4"/>
  <c r="I246" i="4" s="1"/>
  <c r="B246" i="4"/>
  <c r="G245" i="4"/>
  <c r="I245" i="4" s="1"/>
  <c r="B245" i="4"/>
  <c r="G244" i="4"/>
  <c r="I244" i="4" s="1"/>
  <c r="B244" i="4"/>
  <c r="G243" i="4"/>
  <c r="I243" i="4" s="1"/>
  <c r="B243" i="4"/>
  <c r="G242" i="4"/>
  <c r="I242" i="4" s="1"/>
  <c r="B242" i="4"/>
  <c r="G241" i="4"/>
  <c r="I241" i="4" s="1"/>
  <c r="B241" i="4"/>
  <c r="G240" i="4"/>
  <c r="I240" i="4" s="1"/>
  <c r="B240" i="4"/>
  <c r="G239" i="4"/>
  <c r="I239" i="4" s="1"/>
  <c r="B239" i="4"/>
  <c r="G238" i="4"/>
  <c r="I238" i="4" s="1"/>
  <c r="B238" i="4"/>
  <c r="G237" i="4"/>
  <c r="I237" i="4" s="1"/>
  <c r="B237" i="4"/>
  <c r="G236" i="4"/>
  <c r="I236" i="4" s="1"/>
  <c r="B236" i="4"/>
  <c r="G235" i="4"/>
  <c r="I235" i="4" s="1"/>
  <c r="B235" i="4"/>
  <c r="G234" i="4"/>
  <c r="I234" i="4" s="1"/>
  <c r="B234" i="4"/>
  <c r="G233" i="4"/>
  <c r="I233" i="4" s="1"/>
  <c r="B233" i="4"/>
  <c r="G232" i="4"/>
  <c r="I232" i="4" s="1"/>
  <c r="B232" i="4"/>
  <c r="G231" i="4"/>
  <c r="I231" i="4" s="1"/>
  <c r="B231" i="4"/>
  <c r="G230" i="4"/>
  <c r="I230" i="4" s="1"/>
  <c r="B230" i="4"/>
  <c r="G229" i="4"/>
  <c r="I229" i="4" s="1"/>
  <c r="B229" i="4"/>
  <c r="G228" i="4"/>
  <c r="I228" i="4" s="1"/>
  <c r="B228" i="4"/>
  <c r="G227" i="4"/>
  <c r="I227" i="4" s="1"/>
  <c r="B227" i="4"/>
  <c r="G226" i="4"/>
  <c r="I226" i="4" s="1"/>
  <c r="B226" i="4"/>
  <c r="G225" i="4"/>
  <c r="I225" i="4" s="1"/>
  <c r="B225" i="4"/>
  <c r="G224" i="4"/>
  <c r="I224" i="4" s="1"/>
  <c r="B224" i="4"/>
  <c r="G223" i="4"/>
  <c r="I223" i="4" s="1"/>
  <c r="B223" i="4"/>
  <c r="G222" i="4"/>
  <c r="I222" i="4" s="1"/>
  <c r="B222" i="4"/>
  <c r="G221" i="4"/>
  <c r="I221" i="4" s="1"/>
  <c r="B221" i="4"/>
  <c r="G220" i="4"/>
  <c r="I220" i="4" s="1"/>
  <c r="B220" i="4"/>
  <c r="G219" i="4"/>
  <c r="I219" i="4" s="1"/>
  <c r="B219" i="4"/>
  <c r="G218" i="4"/>
  <c r="I218" i="4" s="1"/>
  <c r="B218" i="4"/>
  <c r="G217" i="4"/>
  <c r="I217" i="4" s="1"/>
  <c r="B217" i="4"/>
  <c r="G216" i="4"/>
  <c r="I216" i="4" s="1"/>
  <c r="B216" i="4"/>
  <c r="G215" i="4"/>
  <c r="I215" i="4" s="1"/>
  <c r="B215" i="4"/>
  <c r="G214" i="4"/>
  <c r="I214" i="4" s="1"/>
  <c r="B214" i="4"/>
  <c r="G213" i="4"/>
  <c r="I213" i="4" s="1"/>
  <c r="B213" i="4"/>
  <c r="G212" i="4"/>
  <c r="I212" i="4" s="1"/>
  <c r="B212" i="4"/>
  <c r="G211" i="4"/>
  <c r="I211" i="4" s="1"/>
  <c r="B211" i="4"/>
  <c r="G210" i="4"/>
  <c r="I210" i="4" s="1"/>
  <c r="B210" i="4"/>
  <c r="G209" i="4"/>
  <c r="I209" i="4" s="1"/>
  <c r="B209" i="4"/>
  <c r="G208" i="4"/>
  <c r="I208" i="4" s="1"/>
  <c r="B208" i="4"/>
  <c r="G207" i="4"/>
  <c r="I207" i="4" s="1"/>
  <c r="B207" i="4"/>
  <c r="G206" i="4"/>
  <c r="I206" i="4" s="1"/>
  <c r="B206" i="4"/>
  <c r="G205" i="4"/>
  <c r="I205" i="4" s="1"/>
  <c r="B205" i="4"/>
  <c r="G204" i="4"/>
  <c r="I204" i="4" s="1"/>
  <c r="B204" i="4"/>
  <c r="G203" i="4"/>
  <c r="I203" i="4" s="1"/>
  <c r="B203" i="4"/>
  <c r="G202" i="4"/>
  <c r="I202" i="4" s="1"/>
  <c r="B202" i="4"/>
  <c r="G201" i="4"/>
  <c r="I201" i="4" s="1"/>
  <c r="B201" i="4"/>
  <c r="G200" i="4"/>
  <c r="I200" i="4" s="1"/>
  <c r="B200" i="4"/>
  <c r="G199" i="4"/>
  <c r="I199" i="4" s="1"/>
  <c r="B199" i="4"/>
  <c r="G198" i="4"/>
  <c r="I198" i="4" s="1"/>
  <c r="B198" i="4"/>
  <c r="G197" i="4"/>
  <c r="I197" i="4" s="1"/>
  <c r="B197" i="4"/>
  <c r="G196" i="4"/>
  <c r="I196" i="4" s="1"/>
  <c r="B196" i="4"/>
  <c r="G195" i="4"/>
  <c r="I195" i="4" s="1"/>
  <c r="B195" i="4"/>
  <c r="G194" i="4"/>
  <c r="I194" i="4" s="1"/>
  <c r="B194" i="4"/>
  <c r="G193" i="4"/>
  <c r="I193" i="4" s="1"/>
  <c r="B193" i="4"/>
  <c r="G192" i="4"/>
  <c r="I192" i="4" s="1"/>
  <c r="B192" i="4"/>
  <c r="G191" i="4"/>
  <c r="I191" i="4" s="1"/>
  <c r="B191" i="4"/>
  <c r="G190" i="4"/>
  <c r="I190" i="4" s="1"/>
  <c r="B190" i="4"/>
  <c r="G189" i="4"/>
  <c r="I189" i="4" s="1"/>
  <c r="B189" i="4"/>
  <c r="G188" i="4"/>
  <c r="I188" i="4" s="1"/>
  <c r="B188" i="4"/>
  <c r="G187" i="4"/>
  <c r="I187" i="4" s="1"/>
  <c r="B187" i="4"/>
  <c r="G186" i="4"/>
  <c r="I186" i="4" s="1"/>
  <c r="B186" i="4"/>
  <c r="G185" i="4"/>
  <c r="I185" i="4" s="1"/>
  <c r="B185" i="4"/>
  <c r="G184" i="4"/>
  <c r="I184" i="4" s="1"/>
  <c r="B184" i="4"/>
  <c r="G183" i="4"/>
  <c r="I183" i="4" s="1"/>
  <c r="B183" i="4"/>
  <c r="G182" i="4"/>
  <c r="I182" i="4" s="1"/>
  <c r="B182" i="4"/>
  <c r="G181" i="4"/>
  <c r="I181" i="4" s="1"/>
  <c r="B181" i="4"/>
  <c r="G180" i="4"/>
  <c r="I180" i="4" s="1"/>
  <c r="B180" i="4"/>
  <c r="G179" i="4"/>
  <c r="I179" i="4" s="1"/>
  <c r="B179" i="4"/>
  <c r="G178" i="4"/>
  <c r="I178" i="4" s="1"/>
  <c r="B178" i="4"/>
  <c r="G177" i="4"/>
  <c r="I177" i="4" s="1"/>
  <c r="B177" i="4"/>
  <c r="G176" i="4"/>
  <c r="I176" i="4" s="1"/>
  <c r="B176" i="4"/>
  <c r="G175" i="4"/>
  <c r="I175" i="4" s="1"/>
  <c r="B175" i="4"/>
  <c r="G174" i="4"/>
  <c r="I174" i="4" s="1"/>
  <c r="B174" i="4"/>
  <c r="G173" i="4"/>
  <c r="I173" i="4" s="1"/>
  <c r="B173" i="4"/>
  <c r="G172" i="4"/>
  <c r="I172" i="4" s="1"/>
  <c r="B172" i="4"/>
  <c r="G171" i="4"/>
  <c r="I171" i="4" s="1"/>
  <c r="B171" i="4"/>
  <c r="G170" i="4"/>
  <c r="I170" i="4" s="1"/>
  <c r="B170" i="4"/>
  <c r="G169" i="4"/>
  <c r="I169" i="4" s="1"/>
  <c r="B169" i="4"/>
  <c r="G168" i="4"/>
  <c r="I168" i="4" s="1"/>
  <c r="B168" i="4"/>
  <c r="G167" i="4"/>
  <c r="I167" i="4" s="1"/>
  <c r="B167" i="4"/>
  <c r="G166" i="4"/>
  <c r="I166" i="4" s="1"/>
  <c r="B166" i="4"/>
  <c r="G165" i="4"/>
  <c r="I165" i="4" s="1"/>
  <c r="B165" i="4"/>
  <c r="G164" i="4"/>
  <c r="I164" i="4" s="1"/>
  <c r="B164" i="4"/>
  <c r="G163" i="4"/>
  <c r="I163" i="4" s="1"/>
  <c r="B163" i="4"/>
  <c r="G162" i="4"/>
  <c r="I162" i="4" s="1"/>
  <c r="B162" i="4"/>
  <c r="G161" i="4"/>
  <c r="I161" i="4" s="1"/>
  <c r="B161" i="4"/>
  <c r="G160" i="4"/>
  <c r="I160" i="4" s="1"/>
  <c r="B160" i="4"/>
  <c r="G159" i="4"/>
  <c r="I159" i="4" s="1"/>
  <c r="B159" i="4"/>
  <c r="G158" i="4"/>
  <c r="I158" i="4" s="1"/>
  <c r="B158" i="4"/>
  <c r="G157" i="4"/>
  <c r="I157" i="4" s="1"/>
  <c r="B157" i="4"/>
  <c r="G156" i="4"/>
  <c r="I156" i="4" s="1"/>
  <c r="B156" i="4"/>
  <c r="G155" i="4"/>
  <c r="I155" i="4" s="1"/>
  <c r="B155" i="4"/>
  <c r="G154" i="4"/>
  <c r="I154" i="4" s="1"/>
  <c r="B154" i="4"/>
  <c r="G153" i="4"/>
  <c r="I153" i="4" s="1"/>
  <c r="B153" i="4"/>
  <c r="G152" i="4"/>
  <c r="I152" i="4" s="1"/>
  <c r="B152" i="4"/>
  <c r="G151" i="4"/>
  <c r="I151" i="4" s="1"/>
  <c r="B151" i="4"/>
  <c r="G150" i="4"/>
  <c r="I150" i="4" s="1"/>
  <c r="B150" i="4"/>
  <c r="G149" i="4"/>
  <c r="I149" i="4" s="1"/>
  <c r="B149" i="4"/>
  <c r="G148" i="4"/>
  <c r="I148" i="4" s="1"/>
  <c r="B148" i="4"/>
  <c r="G147" i="4"/>
  <c r="I147" i="4" s="1"/>
  <c r="B147" i="4"/>
  <c r="G146" i="4"/>
  <c r="I146" i="4" s="1"/>
  <c r="B146" i="4"/>
  <c r="G145" i="4"/>
  <c r="I145" i="4" s="1"/>
  <c r="B145" i="4"/>
  <c r="G144" i="4"/>
  <c r="I144" i="4" s="1"/>
  <c r="B144" i="4"/>
  <c r="G143" i="4"/>
  <c r="I143" i="4" s="1"/>
  <c r="B143" i="4"/>
  <c r="G142" i="4"/>
  <c r="I142" i="4" s="1"/>
  <c r="B142" i="4"/>
  <c r="G141" i="4"/>
  <c r="I141" i="4" s="1"/>
  <c r="B141" i="4"/>
  <c r="G140" i="4"/>
  <c r="I140" i="4" s="1"/>
  <c r="B140" i="4"/>
  <c r="G139" i="4"/>
  <c r="I139" i="4" s="1"/>
  <c r="B139" i="4"/>
  <c r="G138" i="4"/>
  <c r="I138" i="4" s="1"/>
  <c r="B138" i="4"/>
  <c r="G137" i="4"/>
  <c r="I137" i="4" s="1"/>
  <c r="B137" i="4"/>
  <c r="G136" i="4"/>
  <c r="I136" i="4" s="1"/>
  <c r="B136" i="4"/>
  <c r="G135" i="4"/>
  <c r="I135" i="4" s="1"/>
  <c r="B135" i="4"/>
  <c r="G134" i="4"/>
  <c r="I134" i="4" s="1"/>
  <c r="B134" i="4"/>
  <c r="G133" i="4"/>
  <c r="I133" i="4" s="1"/>
  <c r="B133" i="4"/>
  <c r="G132" i="4"/>
  <c r="I132" i="4" s="1"/>
  <c r="B132" i="4"/>
  <c r="G131" i="4"/>
  <c r="I131" i="4" s="1"/>
  <c r="B131" i="4"/>
  <c r="G130" i="4"/>
  <c r="I130" i="4" s="1"/>
  <c r="B130" i="4"/>
  <c r="G129" i="4"/>
  <c r="I129" i="4" s="1"/>
  <c r="B129" i="4"/>
  <c r="G128" i="4"/>
  <c r="I128" i="4" s="1"/>
  <c r="B128" i="4"/>
  <c r="G127" i="4"/>
  <c r="I127" i="4" s="1"/>
  <c r="B127" i="4"/>
  <c r="G126" i="4"/>
  <c r="I126" i="4" s="1"/>
  <c r="B126" i="4"/>
  <c r="G125" i="4"/>
  <c r="I125" i="4" s="1"/>
  <c r="B125" i="4"/>
  <c r="G124" i="4"/>
  <c r="I124" i="4" s="1"/>
  <c r="B124" i="4"/>
  <c r="G123" i="4"/>
  <c r="I123" i="4" s="1"/>
  <c r="B123" i="4"/>
  <c r="G122" i="4"/>
  <c r="I122" i="4" s="1"/>
  <c r="B122" i="4"/>
  <c r="G121" i="4"/>
  <c r="I121" i="4" s="1"/>
  <c r="B121" i="4"/>
  <c r="G120" i="4"/>
  <c r="I120" i="4" s="1"/>
  <c r="B120" i="4"/>
  <c r="G119" i="4"/>
  <c r="I119" i="4" s="1"/>
  <c r="B119" i="4"/>
  <c r="G118" i="4"/>
  <c r="I118" i="4" s="1"/>
  <c r="B118" i="4"/>
  <c r="G117" i="4"/>
  <c r="I117" i="4" s="1"/>
  <c r="B117" i="4"/>
  <c r="G116" i="4"/>
  <c r="I116" i="4" s="1"/>
  <c r="B116" i="4"/>
  <c r="G115" i="4"/>
  <c r="I115" i="4" s="1"/>
  <c r="B115" i="4"/>
  <c r="G114" i="4"/>
  <c r="I114" i="4" s="1"/>
  <c r="B114" i="4"/>
  <c r="G113" i="4"/>
  <c r="I113" i="4" s="1"/>
  <c r="B113" i="4"/>
  <c r="G112" i="4"/>
  <c r="I112" i="4" s="1"/>
  <c r="B112" i="4"/>
  <c r="G111" i="4"/>
  <c r="I111" i="4" s="1"/>
  <c r="B111" i="4"/>
  <c r="G110" i="4"/>
  <c r="I110" i="4" s="1"/>
  <c r="B110" i="4"/>
  <c r="G109" i="4"/>
  <c r="I109" i="4" s="1"/>
  <c r="B109" i="4"/>
  <c r="G108" i="4"/>
  <c r="I108" i="4" s="1"/>
  <c r="B108" i="4"/>
  <c r="G107" i="4"/>
  <c r="I107" i="4" s="1"/>
  <c r="B107" i="4"/>
  <c r="G106" i="4"/>
  <c r="I106" i="4" s="1"/>
  <c r="B106" i="4"/>
  <c r="G105" i="4"/>
  <c r="I105" i="4" s="1"/>
  <c r="B105" i="4"/>
  <c r="G104" i="4"/>
  <c r="I104" i="4" s="1"/>
  <c r="B104" i="4"/>
  <c r="G103" i="4"/>
  <c r="I103" i="4" s="1"/>
  <c r="B103" i="4"/>
  <c r="G102" i="4"/>
  <c r="I102" i="4" s="1"/>
  <c r="B102" i="4"/>
  <c r="G101" i="4"/>
  <c r="I101" i="4" s="1"/>
  <c r="B101" i="4"/>
  <c r="G100" i="4"/>
  <c r="I100" i="4" s="1"/>
  <c r="B100" i="4"/>
  <c r="G99" i="4"/>
  <c r="I99" i="4" s="1"/>
  <c r="B99" i="4"/>
  <c r="G98" i="4"/>
  <c r="I98" i="4" s="1"/>
  <c r="B98" i="4"/>
  <c r="G97" i="4"/>
  <c r="I97" i="4" s="1"/>
  <c r="B97" i="4"/>
  <c r="G96" i="4"/>
  <c r="I96" i="4" s="1"/>
  <c r="B96" i="4"/>
  <c r="G95" i="4"/>
  <c r="I95" i="4" s="1"/>
  <c r="B95" i="4"/>
  <c r="G94" i="4"/>
  <c r="I94" i="4" s="1"/>
  <c r="B94" i="4"/>
  <c r="G93" i="4"/>
  <c r="I93" i="4" s="1"/>
  <c r="B93" i="4"/>
  <c r="G92" i="4"/>
  <c r="I92" i="4" s="1"/>
  <c r="B92" i="4"/>
  <c r="G91" i="4"/>
  <c r="I91" i="4" s="1"/>
  <c r="B91" i="4"/>
  <c r="G90" i="4"/>
  <c r="I90" i="4" s="1"/>
  <c r="B90" i="4"/>
  <c r="G89" i="4"/>
  <c r="I89" i="4" s="1"/>
  <c r="B89" i="4"/>
  <c r="G88" i="4"/>
  <c r="I88" i="4" s="1"/>
  <c r="B88" i="4"/>
  <c r="G87" i="4"/>
  <c r="I87" i="4" s="1"/>
  <c r="B87" i="4"/>
  <c r="G86" i="4"/>
  <c r="I86" i="4" s="1"/>
  <c r="B86" i="4"/>
  <c r="G85" i="4"/>
  <c r="I85" i="4" s="1"/>
  <c r="B85" i="4"/>
  <c r="G84" i="4"/>
  <c r="I84" i="4" s="1"/>
  <c r="B84" i="4"/>
  <c r="G83" i="4"/>
  <c r="I83" i="4" s="1"/>
  <c r="B83" i="4"/>
  <c r="G82" i="4"/>
  <c r="I82" i="4" s="1"/>
  <c r="B82" i="4"/>
  <c r="G81" i="4"/>
  <c r="I81" i="4" s="1"/>
  <c r="B81" i="4"/>
  <c r="G80" i="4"/>
  <c r="I80" i="4" s="1"/>
  <c r="B80" i="4"/>
  <c r="G79" i="4"/>
  <c r="I79" i="4" s="1"/>
  <c r="B79" i="4"/>
  <c r="G78" i="4"/>
  <c r="I78" i="4" s="1"/>
  <c r="B78" i="4"/>
  <c r="G77" i="4"/>
  <c r="I77" i="4" s="1"/>
  <c r="B77" i="4"/>
  <c r="G76" i="4"/>
  <c r="I76" i="4" s="1"/>
  <c r="B76" i="4"/>
  <c r="G75" i="4"/>
  <c r="I75" i="4" s="1"/>
  <c r="B75" i="4"/>
  <c r="G74" i="4"/>
  <c r="I74" i="4" s="1"/>
  <c r="B74" i="4"/>
  <c r="G73" i="4"/>
  <c r="I73" i="4" s="1"/>
  <c r="B73" i="4"/>
  <c r="G72" i="4"/>
  <c r="I72" i="4" s="1"/>
  <c r="B72" i="4"/>
  <c r="G71" i="4"/>
  <c r="I71" i="4" s="1"/>
  <c r="B71" i="4"/>
  <c r="G70" i="4"/>
  <c r="I70" i="4" s="1"/>
  <c r="B70" i="4"/>
  <c r="G69" i="4"/>
  <c r="I69" i="4" s="1"/>
  <c r="B69" i="4"/>
  <c r="G68" i="4"/>
  <c r="I68" i="4" s="1"/>
  <c r="B68" i="4"/>
  <c r="G67" i="4"/>
  <c r="I67" i="4" s="1"/>
  <c r="B67" i="4"/>
  <c r="G66" i="4"/>
  <c r="I66" i="4" s="1"/>
  <c r="B66" i="4"/>
  <c r="G65" i="4"/>
  <c r="I65" i="4" s="1"/>
  <c r="B65" i="4"/>
  <c r="G64" i="4"/>
  <c r="I64" i="4" s="1"/>
  <c r="B64" i="4"/>
  <c r="G63" i="4"/>
  <c r="I63" i="4" s="1"/>
  <c r="B63" i="4"/>
  <c r="G62" i="4"/>
  <c r="I62" i="4" s="1"/>
  <c r="B62" i="4"/>
  <c r="G61" i="4"/>
  <c r="I61" i="4" s="1"/>
  <c r="B61" i="4"/>
  <c r="G40" i="4"/>
  <c r="I40" i="4" s="1"/>
  <c r="B40" i="4"/>
  <c r="G39" i="4"/>
  <c r="I39" i="4" s="1"/>
  <c r="B39" i="4"/>
  <c r="G34" i="4"/>
  <c r="I34" i="4" s="1"/>
  <c r="B34" i="4"/>
  <c r="G32" i="4"/>
  <c r="I32" i="4" s="1"/>
  <c r="B32" i="4"/>
  <c r="G31" i="4"/>
  <c r="I31" i="4" s="1"/>
  <c r="B31" i="4"/>
  <c r="G22" i="4"/>
  <c r="I22" i="4" s="1"/>
  <c r="B22" i="4"/>
  <c r="G20" i="4"/>
  <c r="I20" i="4" s="1"/>
  <c r="B20" i="4"/>
  <c r="G19" i="4"/>
  <c r="I19" i="4" s="1"/>
  <c r="B19" i="4"/>
  <c r="G18" i="4"/>
  <c r="I18" i="4" s="1"/>
  <c r="B18" i="4"/>
  <c r="G13" i="4"/>
  <c r="I13" i="4" s="1"/>
  <c r="B13" i="4"/>
  <c r="G4" i="4"/>
  <c r="I4" i="4" s="1"/>
  <c r="B4" i="4"/>
  <c r="G33" i="4"/>
  <c r="I33" i="4" s="1"/>
  <c r="B33" i="4"/>
  <c r="G25" i="4"/>
  <c r="I25" i="4" s="1"/>
  <c r="B25" i="4"/>
  <c r="G23" i="4"/>
  <c r="I23" i="4" s="1"/>
  <c r="B23" i="4"/>
  <c r="G15" i="4"/>
  <c r="I15" i="4" s="1"/>
  <c r="B15" i="4"/>
  <c r="G14" i="4"/>
  <c r="I14" i="4" s="1"/>
  <c r="B14" i="4"/>
  <c r="G11" i="4"/>
  <c r="I11" i="4" s="1"/>
  <c r="B11" i="4"/>
  <c r="G7" i="4"/>
  <c r="I7" i="4" s="1"/>
  <c r="B7" i="4"/>
  <c r="G2" i="4"/>
  <c r="I2" i="4" s="1"/>
  <c r="B2" i="4"/>
  <c r="G37" i="4"/>
  <c r="I37" i="4" s="1"/>
  <c r="B37" i="4"/>
  <c r="G30" i="4"/>
  <c r="I30" i="4" s="1"/>
  <c r="B30" i="4"/>
  <c r="G28" i="4"/>
  <c r="I28" i="4" s="1"/>
  <c r="B28" i="4"/>
  <c r="G24" i="4"/>
  <c r="I24" i="4" s="1"/>
  <c r="B24" i="4"/>
  <c r="G16" i="4"/>
  <c r="I16" i="4" s="1"/>
  <c r="B16" i="4"/>
  <c r="G8" i="4"/>
  <c r="I8" i="4" s="1"/>
  <c r="B8" i="4"/>
  <c r="G5" i="4"/>
  <c r="I5" i="4" s="1"/>
  <c r="B5" i="4"/>
  <c r="G38" i="4"/>
  <c r="I38" i="4" s="1"/>
  <c r="B38" i="4"/>
  <c r="G36" i="4"/>
  <c r="I36" i="4" s="1"/>
  <c r="B36" i="4"/>
  <c r="G10" i="4"/>
  <c r="I10" i="4" s="1"/>
  <c r="B10" i="4"/>
  <c r="G35" i="4"/>
  <c r="I35" i="4" s="1"/>
  <c r="B35" i="4"/>
  <c r="G29" i="4"/>
  <c r="I29" i="4" s="1"/>
  <c r="B29" i="4"/>
  <c r="G27" i="4"/>
  <c r="I27" i="4" s="1"/>
  <c r="B27" i="4"/>
  <c r="G26" i="4"/>
  <c r="I26" i="4" s="1"/>
  <c r="B26" i="4"/>
  <c r="G21" i="4"/>
  <c r="I21" i="4" s="1"/>
  <c r="B21" i="4"/>
  <c r="G17" i="4"/>
  <c r="I17" i="4" s="1"/>
  <c r="B17" i="4"/>
  <c r="G12" i="4"/>
  <c r="I12" i="4" s="1"/>
  <c r="B12" i="4"/>
  <c r="G9" i="4"/>
  <c r="I9" i="4" s="1"/>
  <c r="B9" i="4"/>
  <c r="G6" i="4"/>
  <c r="I6" i="4" s="1"/>
  <c r="B6" i="4"/>
  <c r="G3" i="4"/>
  <c r="I3" i="4" s="1"/>
  <c r="B3" i="4"/>
  <c r="G59" i="4"/>
  <c r="I59" i="4" s="1"/>
  <c r="B59" i="4"/>
  <c r="G58" i="4"/>
  <c r="I58" i="4" s="1"/>
  <c r="B58" i="4"/>
  <c r="G56" i="4"/>
  <c r="I56" i="4" s="1"/>
  <c r="B56" i="4"/>
  <c r="G55" i="4"/>
  <c r="I55" i="4" s="1"/>
  <c r="B55" i="4"/>
  <c r="G51" i="4"/>
  <c r="I51" i="4" s="1"/>
  <c r="B51" i="4"/>
  <c r="G45" i="4"/>
  <c r="I45" i="4" s="1"/>
  <c r="B45" i="4"/>
  <c r="G43" i="4"/>
  <c r="I43" i="4" s="1"/>
  <c r="B43" i="4"/>
  <c r="G60" i="4"/>
  <c r="I60" i="4" s="1"/>
  <c r="B60" i="4"/>
  <c r="G57" i="4"/>
  <c r="I57" i="4" s="1"/>
  <c r="B57" i="4"/>
  <c r="G52" i="4"/>
  <c r="I52" i="4" s="1"/>
  <c r="B52" i="4"/>
  <c r="G50" i="4"/>
  <c r="I50" i="4" s="1"/>
  <c r="B50" i="4"/>
  <c r="G44" i="4"/>
  <c r="I44" i="4" s="1"/>
  <c r="B44" i="4"/>
  <c r="G54" i="4"/>
  <c r="I54" i="4" s="1"/>
  <c r="B54" i="4"/>
  <c r="G53" i="4"/>
  <c r="I53" i="4" s="1"/>
  <c r="B53" i="4"/>
  <c r="G49" i="4"/>
  <c r="I49" i="4" s="1"/>
  <c r="B49" i="4"/>
  <c r="G48" i="4"/>
  <c r="I48" i="4" s="1"/>
  <c r="B48" i="4"/>
  <c r="G47" i="4"/>
  <c r="I47" i="4" s="1"/>
  <c r="B47" i="4"/>
  <c r="G46" i="4"/>
  <c r="I46" i="4" s="1"/>
  <c r="B46" i="4"/>
  <c r="G42" i="4"/>
  <c r="I42" i="4" s="1"/>
  <c r="B42" i="4"/>
  <c r="G41" i="4"/>
  <c r="I41" i="4" s="1"/>
  <c r="B41" i="4"/>
  <c r="F5" i="7" l="1"/>
  <c r="G5" i="7"/>
  <c r="H5" i="7" s="1"/>
  <c r="C5" i="7"/>
  <c r="E5" i="7" s="1"/>
  <c r="G3" i="7"/>
  <c r="H3" i="7" s="1"/>
  <c r="B10" i="6"/>
  <c r="A18" i="6" s="1"/>
  <c r="F3" i="7"/>
  <c r="C3" i="7"/>
  <c r="E3" i="7" s="1"/>
  <c r="C4" i="7"/>
  <c r="E4" i="7" s="1"/>
  <c r="F4" i="7"/>
  <c r="F2" i="7"/>
  <c r="C2" i="7"/>
  <c r="E2" i="7" s="1"/>
  <c r="B7" i="6"/>
  <c r="G2" i="7"/>
  <c r="H2" i="7" s="1"/>
  <c r="G4" i="7"/>
  <c r="H4" i="7" s="1"/>
  <c r="B11" i="6"/>
  <c r="B12" i="6" s="1"/>
  <c r="A19" i="6" s="1"/>
  <c r="I5" i="7" l="1"/>
  <c r="I3" i="7"/>
  <c r="B9" i="6"/>
  <c r="B13" i="6" s="1"/>
  <c r="A20" i="6" s="1"/>
  <c r="I2" i="7"/>
  <c r="I4" i="7"/>
  <c r="A17" i="6" l="1"/>
</calcChain>
</file>

<file path=xl/sharedStrings.xml><?xml version="1.0" encoding="utf-8"?>
<sst xmlns="http://schemas.openxmlformats.org/spreadsheetml/2006/main" count="326" uniqueCount="200">
  <si>
    <t>員工薪資與員購月結表</t>
  </si>
  <si>
    <t>工作表順序</t>
  </si>
  <si>
    <t>Employees</t>
  </si>
  <si>
    <t>員工設定：姓名、時薪、員購折扣方案</t>
  </si>
  <si>
    <t>Timesheet</t>
  </si>
  <si>
    <t>上班明細：日期、上下班、休息、其他費用</t>
  </si>
  <si>
    <t>Purchases</t>
  </si>
  <si>
    <t>員購明細：員工帶貨商品</t>
  </si>
  <si>
    <t>Payroll Lookup</t>
  </si>
  <si>
    <t>單一員工單月查詢</t>
  </si>
  <si>
    <t>Payroll Summary</t>
  </si>
  <si>
    <t>快速查看多位員工／多個月份</t>
  </si>
  <si>
    <t>使用方式</t>
  </si>
  <si>
    <t>1. 到 Employees 填寫員工、時薪、員購方案。</t>
  </si>
  <si>
    <t>2. 到 Timesheet 輸入每天上班時間；工時自動算。</t>
  </si>
  <si>
    <t>3. 代墊、郵資等加回薪資的費用，填在 Timesheet 的「其他費用($)」。</t>
  </si>
  <si>
    <t>4. 員工拿貨填在 Purchases；折扣會在查詢與總表自動套用。</t>
  </si>
  <si>
    <t>5. 到 Payroll Lookup 用下拉選員工與月份，即可看到當月薪資。</t>
  </si>
  <si>
    <t>6. 到 Payroll Summary 可批次列出多位員工每月薪資。</t>
  </si>
  <si>
    <t>已放入範例資料：Grace、伊平、PT-家靜 的 2026/02 資料，可直接覆蓋或刪除。</t>
  </si>
  <si>
    <t>DiscountPolicy</t>
  </si>
  <si>
    <t>MonthKey</t>
  </si>
  <si>
    <t>88折，滿2500再9折</t>
  </si>
  <si>
    <t>2025/01</t>
  </si>
  <si>
    <t>統一9折</t>
  </si>
  <si>
    <t>2025/02</t>
  </si>
  <si>
    <t>無</t>
  </si>
  <si>
    <t>2025/03</t>
  </si>
  <si>
    <t>2025/04</t>
  </si>
  <si>
    <t>2025/05</t>
  </si>
  <si>
    <t>2025/06</t>
  </si>
  <si>
    <t>2025/07</t>
  </si>
  <si>
    <t>2025/08</t>
  </si>
  <si>
    <t>2025/09</t>
  </si>
  <si>
    <t>2025/10</t>
  </si>
  <si>
    <t>2025/11</t>
  </si>
  <si>
    <t>2025/12</t>
  </si>
  <si>
    <t>2026/01</t>
  </si>
  <si>
    <t>2026/02</t>
  </si>
  <si>
    <t>2026/03</t>
  </si>
  <si>
    <t>2026/04</t>
  </si>
  <si>
    <t>2026/05</t>
  </si>
  <si>
    <t>2026/06</t>
  </si>
  <si>
    <t>2026/07</t>
  </si>
  <si>
    <t>2026/08</t>
  </si>
  <si>
    <t>2026/09</t>
  </si>
  <si>
    <t>2026/10</t>
  </si>
  <si>
    <t>2026/11</t>
  </si>
  <si>
    <t>2026/12</t>
  </si>
  <si>
    <t>2027/01</t>
  </si>
  <si>
    <t>2027/02</t>
  </si>
  <si>
    <t>2027/03</t>
  </si>
  <si>
    <t>2027/04</t>
  </si>
  <si>
    <t>2027/05</t>
  </si>
  <si>
    <t>2027/06</t>
  </si>
  <si>
    <t>2027/07</t>
  </si>
  <si>
    <t>2027/08</t>
  </si>
  <si>
    <t>2027/09</t>
  </si>
  <si>
    <t>2027/10</t>
  </si>
  <si>
    <t>2027/11</t>
  </si>
  <si>
    <t>2027/12</t>
  </si>
  <si>
    <t>2028/01</t>
  </si>
  <si>
    <t>2028/02</t>
  </si>
  <si>
    <t>2028/03</t>
  </si>
  <si>
    <t>2028/04</t>
  </si>
  <si>
    <t>2028/05</t>
  </si>
  <si>
    <t>2028/06</t>
  </si>
  <si>
    <t>2028/07</t>
  </si>
  <si>
    <t>2028/08</t>
  </si>
  <si>
    <t>2028/09</t>
  </si>
  <si>
    <t>2028/10</t>
  </si>
  <si>
    <t>2028/11</t>
  </si>
  <si>
    <t>2028/12</t>
  </si>
  <si>
    <t>2029/01</t>
  </si>
  <si>
    <t>2029/02</t>
  </si>
  <si>
    <t>2029/03</t>
  </si>
  <si>
    <t>2029/04</t>
  </si>
  <si>
    <t>2029/05</t>
  </si>
  <si>
    <t>2029/06</t>
  </si>
  <si>
    <t>2029/07</t>
  </si>
  <si>
    <t>2029/08</t>
  </si>
  <si>
    <t>2029/09</t>
  </si>
  <si>
    <t>2029/10</t>
  </si>
  <si>
    <t>2029/11</t>
  </si>
  <si>
    <t>2029/12</t>
  </si>
  <si>
    <t>2030/01</t>
  </si>
  <si>
    <t>2030/02</t>
  </si>
  <si>
    <t>2030/03</t>
  </si>
  <si>
    <t>2030/04</t>
  </si>
  <si>
    <t>2030/05</t>
  </si>
  <si>
    <t>2030/06</t>
  </si>
  <si>
    <t>2030/07</t>
  </si>
  <si>
    <t>2030/08</t>
  </si>
  <si>
    <t>2030/09</t>
  </si>
  <si>
    <t>2030/10</t>
  </si>
  <si>
    <t>2030/11</t>
  </si>
  <si>
    <t>2030/12</t>
  </si>
  <si>
    <t>員工姓名</t>
  </si>
  <si>
    <t>時薪</t>
  </si>
  <si>
    <t>員購方案</t>
  </si>
  <si>
    <t>滿額門檻</t>
  </si>
  <si>
    <t>第1折扣</t>
  </si>
  <si>
    <t>第2折扣</t>
  </si>
  <si>
    <t>說明</t>
  </si>
  <si>
    <t>範例：先88折，原價滿2500再9折</t>
  </si>
  <si>
    <t>伊平</t>
  </si>
  <si>
    <t>範例：只有員工價9折</t>
  </si>
  <si>
    <t>範例</t>
  </si>
  <si>
    <t>日期</t>
  </si>
  <si>
    <t>月份鍵</t>
  </si>
  <si>
    <t>上班時間</t>
  </si>
  <si>
    <t>下班時間</t>
  </si>
  <si>
    <t>休息時數(H)</t>
  </si>
  <si>
    <t>自動工時(H)</t>
  </si>
  <si>
    <t>手動工時(H，可覆蓋)</t>
  </si>
  <si>
    <t>計薪工時(H)</t>
  </si>
  <si>
    <t>其他費用說明</t>
  </si>
  <si>
    <t>其他費用($)</t>
  </si>
  <si>
    <t>郵局郵資</t>
  </si>
  <si>
    <t>7-11銷貨代墊</t>
  </si>
  <si>
    <t>壽司豆皮5封封片</t>
  </si>
  <si>
    <t>商品編號</t>
  </si>
  <si>
    <t>品名</t>
  </si>
  <si>
    <t>規格</t>
  </si>
  <si>
    <t>單價</t>
  </si>
  <si>
    <t>數量</t>
  </si>
  <si>
    <t>小計($)</t>
  </si>
  <si>
    <t>備註</t>
  </si>
  <si>
    <t>HFB03007-FL-B-BK-L</t>
  </si>
  <si>
    <t>舒適鬆緊腰天絲牛仔寬褲</t>
  </si>
  <si>
    <t>【秋冬刷毛款】標準款-黑色L</t>
  </si>
  <si>
    <t>HFB03007-FL-P-BU-M</t>
  </si>
  <si>
    <t>【秋冬刷毛款】嬌小款-復古藍M</t>
  </si>
  <si>
    <t>HME03004-GY-L</t>
  </si>
  <si>
    <t>居家棉質男士四角內褲</t>
  </si>
  <si>
    <t>淺花灰L</t>
  </si>
  <si>
    <t>HFA02025-BK-XL</t>
  </si>
  <si>
    <t>柔軟天鵝頸半高領打底針織衫</t>
  </si>
  <si>
    <t>黑色XL</t>
  </si>
  <si>
    <t>HFE03006-BK-M</t>
  </si>
  <si>
    <t>冰絲面膜速乾三角內褲</t>
  </si>
  <si>
    <t>雅黑色M</t>
  </si>
  <si>
    <t>HFE03006-BE-M</t>
  </si>
  <si>
    <t>奶咖色M</t>
  </si>
  <si>
    <t>HFE03006-YL-M</t>
  </si>
  <si>
    <t>奶油黃M</t>
  </si>
  <si>
    <t>HFE03006-BU-M</t>
  </si>
  <si>
    <t>輕氧藍M</t>
  </si>
  <si>
    <t>HFE03006-GN-M</t>
  </si>
  <si>
    <t>薄荷綠M</t>
  </si>
  <si>
    <t>HFE03005-TS-GN-F</t>
  </si>
  <si>
    <t>隱形不透款無痕內衣</t>
  </si>
  <si>
    <t>【細肩帶】抹茶綠F</t>
  </si>
  <si>
    <t>HFE03005-WS-GN-F</t>
  </si>
  <si>
    <t>【寬肩帶】抹茶綠F</t>
  </si>
  <si>
    <t>HFE03005-WS-BK-F</t>
  </si>
  <si>
    <t>【寬肩帶】黑色F</t>
  </si>
  <si>
    <t>HFE03002-PK-XL</t>
  </si>
  <si>
    <t>舒適寬邊莫代爾女士三角內褲</t>
  </si>
  <si>
    <t>煙粉色XL</t>
  </si>
  <si>
    <t>HFE03002-BR-XL</t>
  </si>
  <si>
    <t>摩卡色XL</t>
  </si>
  <si>
    <t>HME03001-GY-XL</t>
  </si>
  <si>
    <t>超薄裸感冰絲男士四角內褲</t>
  </si>
  <si>
    <t>灰色XL</t>
  </si>
  <si>
    <t>HME03002-SO-GY-XL</t>
  </si>
  <si>
    <t>柔順莫代爾男士四角內褲</t>
  </si>
  <si>
    <t>【素色】淺灰色XL</t>
  </si>
  <si>
    <t>單一員工月薪查詢</t>
  </si>
  <si>
    <t>月份</t>
  </si>
  <si>
    <t>總工時(H)</t>
  </si>
  <si>
    <t>薪資</t>
  </si>
  <si>
    <t>代墊/其他費用</t>
  </si>
  <si>
    <t>員購原價</t>
  </si>
  <si>
    <t>員購應扣</t>
  </si>
  <si>
    <t>實領薪資</t>
  </si>
  <si>
    <t>格式化輸出</t>
  </si>
  <si>
    <t>其他費用</t>
  </si>
  <si>
    <t>依玲</t>
  </si>
  <si>
    <t>依玲</t>
    <phoneticPr fontId="11" type="noConversion"/>
  </si>
  <si>
    <t>家靜</t>
  </si>
  <si>
    <t>家靜</t>
    <phoneticPr fontId="11" type="noConversion"/>
  </si>
  <si>
    <t>7-11運費代墊</t>
    <phoneticPr fontId="11" type="noConversion"/>
  </si>
  <si>
    <t>HFD02004-BK-F</t>
  </si>
  <si>
    <t>太空棉oversize寬鬆大袖連帽外套</t>
  </si>
  <si>
    <t>黑色F</t>
  </si>
  <si>
    <t>HFA02025-OW-XL</t>
  </si>
  <si>
    <t>燕麥米XL</t>
  </si>
  <si>
    <t>HFA02025-GY-XL</t>
  </si>
  <si>
    <t>奶奶灰XL</t>
  </si>
  <si>
    <t>HFB03007-B-BU-L</t>
  </si>
  <si>
    <t>【四季薄款】基本款-復古藍L</t>
  </si>
  <si>
    <t>HFB03007-B-BK-L</t>
  </si>
  <si>
    <t>【四季薄款】基本款-黑色L</t>
  </si>
  <si>
    <t>員購-原價</t>
    <phoneticPr fontId="11" type="noConversion"/>
  </si>
  <si>
    <t>員購-員工價</t>
    <phoneticPr fontId="11" type="noConversion"/>
  </si>
  <si>
    <t>舒靖</t>
  </si>
  <si>
    <t>舒靖</t>
    <phoneticPr fontId="11" type="noConversion"/>
  </si>
  <si>
    <t>換機油</t>
    <phoneticPr fontId="11" type="noConversion"/>
  </si>
  <si>
    <t>換機車前輪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</si>
</sst>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\$#,##0;[Red]\(\$#,##0\);\-"/>
    <numFmt numFmtId="177" formatCode="yyyy/mm/dd"/>
    <numFmt numFmtId="178" formatCode="0.0"/>
  </numFmts>
  <fonts count="13">
    <font>
      <sz val="11"/>
      <color theme="1"/>
      <name val="新細明體"/>
      <family val="2"/>
      <scheme val="minor"/>
    </font>
    <font>
      <b/>
      <sz val="16"/>
      <color rgb="FF1F4E78"/>
      <name val="新細明體"/>
      <family val="1"/>
      <charset val="136"/>
    </font>
    <font>
      <b/>
      <sz val="11"/>
      <color rgb="FF1F4E78"/>
      <name val="新細明體"/>
      <family val="1"/>
      <charset val="136"/>
    </font>
    <font>
      <i/>
      <sz val="10"/>
      <color rgb="FF9C6500"/>
      <name val="新細明體"/>
      <family val="1"/>
      <charset val="136"/>
    </font>
    <font>
      <b/>
      <sz val="11"/>
      <color rgb="FFFFFFFF"/>
      <name val="新細明體"/>
      <family val="1"/>
      <charset val="136"/>
    </font>
    <font>
      <sz val="11"/>
      <color rgb="FF0000FF"/>
      <name val="新細明體"/>
      <family val="1"/>
      <charset val="136"/>
    </font>
    <font>
      <sz val="11"/>
      <color rgb="FF666666"/>
      <name val="新細明體"/>
      <family val="1"/>
      <charset val="136"/>
    </font>
    <font>
      <sz val="11"/>
      <color rgb="FF000000"/>
      <name val="新細明體"/>
      <family val="1"/>
      <charset val="136"/>
    </font>
    <font>
      <b/>
      <sz val="15"/>
      <color rgb="FF1F4E78"/>
      <name val="新細明體"/>
      <family val="1"/>
      <charset val="136"/>
    </font>
    <font>
      <b/>
      <sz val="11"/>
      <color rgb="FF7030A0"/>
      <name val="新細明體"/>
      <family val="1"/>
      <charset val="136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  <font>
      <sz val="11"/>
      <color rgb="FF0000FF"/>
      <name val="Microsoft JhengHei"/>
      <family val="1"/>
      <charset val="136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3F4F6"/>
      </patternFill>
    </fill>
    <fill>
      <patternFill patternType="solid">
        <fgColor rgb="FFEADCF8"/>
      </patternFill>
    </fill>
    <fill>
      <patternFill patternType="solid">
        <fgColor rgb="FFE2F0D9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C9C9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0" xfId="0" applyFont="1" applyFill="1"/>
    <xf numFmtId="176" fontId="5" fillId="3" borderId="0" xfId="0" applyNumberFormat="1" applyFont="1" applyFill="1"/>
    <xf numFmtId="9" fontId="5" fillId="3" borderId="0" xfId="0" applyNumberFormat="1" applyFont="1" applyFill="1"/>
    <xf numFmtId="0" fontId="6" fillId="4" borderId="0" xfId="0" applyFont="1" applyFill="1"/>
    <xf numFmtId="177" fontId="5" fillId="3" borderId="0" xfId="0" applyNumberFormat="1" applyFont="1" applyFill="1"/>
    <xf numFmtId="0" fontId="7" fillId="4" borderId="0" xfId="0" applyFont="1" applyFill="1"/>
    <xf numFmtId="20" fontId="5" fillId="3" borderId="0" xfId="0" applyNumberFormat="1" applyFont="1" applyFill="1"/>
    <xf numFmtId="178" fontId="5" fillId="3" borderId="0" xfId="0" applyNumberFormat="1" applyFont="1" applyFill="1"/>
    <xf numFmtId="178" fontId="7" fillId="4" borderId="0" xfId="0" applyNumberFormat="1" applyFont="1" applyFill="1"/>
    <xf numFmtId="176" fontId="7" fillId="4" borderId="0" xfId="0" applyNumberFormat="1" applyFont="1" applyFill="1"/>
    <xf numFmtId="0" fontId="8" fillId="0" borderId="0" xfId="0" applyFont="1"/>
    <xf numFmtId="0" fontId="9" fillId="5" borderId="0" xfId="0" applyFont="1" applyFill="1" applyAlignment="1">
      <alignment horizontal="center"/>
    </xf>
    <xf numFmtId="178" fontId="7" fillId="4" borderId="0" xfId="0" applyNumberFormat="1" applyFont="1" applyFill="1" applyAlignment="1">
      <alignment horizontal="right"/>
    </xf>
    <xf numFmtId="176" fontId="7" fillId="4" borderId="0" xfId="0" applyNumberFormat="1" applyFont="1" applyFill="1" applyAlignment="1">
      <alignment horizontal="right"/>
    </xf>
    <xf numFmtId="176" fontId="7" fillId="6" borderId="0" xfId="0" applyNumberFormat="1" applyFont="1" applyFill="1" applyAlignment="1">
      <alignment horizontal="right"/>
    </xf>
    <xf numFmtId="0" fontId="10" fillId="0" borderId="0" xfId="0" applyFont="1"/>
    <xf numFmtId="176" fontId="7" fillId="6" borderId="0" xfId="0" applyNumberFormat="1" applyFont="1" applyFill="1"/>
    <xf numFmtId="0" fontId="12" fillId="3" borderId="0" xfId="0" applyFont="1" applyFill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3"/>
  <sheetViews>
    <sheetView workbookViewId="0"/>
  </sheetViews>
  <sheetFormatPr defaultRowHeight="15"/>
  <sheetData>
    <row r="1" spans="1:2">
      <c r="A1" t="s">
        <v>20</v>
      </c>
      <c r="B1" t="s">
        <v>21</v>
      </c>
    </row>
    <row r="2" spans="1:2">
      <c r="A2" t="s">
        <v>22</v>
      </c>
      <c r="B2" t="s">
        <v>23</v>
      </c>
    </row>
    <row r="3" spans="1:2">
      <c r="A3" t="s">
        <v>24</v>
      </c>
      <c r="B3" t="s">
        <v>25</v>
      </c>
    </row>
    <row r="4" spans="1:2">
      <c r="A4" t="s">
        <v>26</v>
      </c>
      <c r="B4" t="s">
        <v>27</v>
      </c>
    </row>
    <row r="5" spans="1:2">
      <c r="B5" t="s">
        <v>28</v>
      </c>
    </row>
    <row r="6" spans="1:2">
      <c r="B6" t="s">
        <v>29</v>
      </c>
    </row>
    <row r="7" spans="1:2">
      <c r="B7" t="s">
        <v>30</v>
      </c>
    </row>
    <row r="8" spans="1:2">
      <c r="B8" t="s">
        <v>31</v>
      </c>
    </row>
    <row r="9" spans="1:2">
      <c r="B9" t="s">
        <v>32</v>
      </c>
    </row>
    <row r="10" spans="1:2">
      <c r="B10" t="s">
        <v>33</v>
      </c>
    </row>
    <row r="11" spans="1:2">
      <c r="B11" t="s">
        <v>34</v>
      </c>
    </row>
    <row r="12" spans="1:2">
      <c r="B12" t="s">
        <v>35</v>
      </c>
    </row>
    <row r="13" spans="1:2">
      <c r="B13" t="s">
        <v>36</v>
      </c>
    </row>
    <row r="14" spans="1:2">
      <c r="B14" t="s">
        <v>37</v>
      </c>
    </row>
    <row r="15" spans="1:2">
      <c r="B15" t="s">
        <v>38</v>
      </c>
    </row>
    <row r="16" spans="1:2">
      <c r="B16" t="s">
        <v>39</v>
      </c>
    </row>
    <row r="17" spans="2:2">
      <c r="B17" t="s">
        <v>40</v>
      </c>
    </row>
    <row r="18" spans="2:2">
      <c r="B18" t="s">
        <v>41</v>
      </c>
    </row>
    <row r="19" spans="2:2">
      <c r="B19" t="s">
        <v>42</v>
      </c>
    </row>
    <row r="20" spans="2:2">
      <c r="B20" t="s">
        <v>43</v>
      </c>
    </row>
    <row r="21" spans="2:2">
      <c r="B21" t="s">
        <v>44</v>
      </c>
    </row>
    <row r="22" spans="2:2">
      <c r="B22" t="s">
        <v>45</v>
      </c>
    </row>
    <row r="23" spans="2:2">
      <c r="B23" t="s">
        <v>46</v>
      </c>
    </row>
    <row r="24" spans="2:2">
      <c r="B24" t="s">
        <v>47</v>
      </c>
    </row>
    <row r="25" spans="2:2">
      <c r="B25" t="s">
        <v>48</v>
      </c>
    </row>
    <row r="26" spans="2:2">
      <c r="B26" t="s">
        <v>49</v>
      </c>
    </row>
    <row r="27" spans="2:2">
      <c r="B27" t="s">
        <v>50</v>
      </c>
    </row>
    <row r="28" spans="2:2">
      <c r="B28" t="s">
        <v>51</v>
      </c>
    </row>
    <row r="29" spans="2:2">
      <c r="B29" t="s">
        <v>52</v>
      </c>
    </row>
    <row r="30" spans="2:2">
      <c r="B30" t="s">
        <v>53</v>
      </c>
    </row>
    <row r="31" spans="2:2">
      <c r="B31" t="s">
        <v>54</v>
      </c>
    </row>
    <row r="32" spans="2:2">
      <c r="B32" t="s">
        <v>55</v>
      </c>
    </row>
    <row r="33" spans="2:2">
      <c r="B33" t="s">
        <v>56</v>
      </c>
    </row>
    <row r="34" spans="2:2">
      <c r="B34" t="s">
        <v>57</v>
      </c>
    </row>
    <row r="35" spans="2:2">
      <c r="B35" t="s">
        <v>58</v>
      </c>
    </row>
    <row r="36" spans="2:2">
      <c r="B36" t="s">
        <v>59</v>
      </c>
    </row>
    <row r="37" spans="2:2">
      <c r="B37" t="s">
        <v>60</v>
      </c>
    </row>
    <row r="38" spans="2:2">
      <c r="B38" t="s">
        <v>61</v>
      </c>
    </row>
    <row r="39" spans="2:2">
      <c r="B39" t="s">
        <v>62</v>
      </c>
    </row>
    <row r="40" spans="2:2">
      <c r="B40" t="s">
        <v>63</v>
      </c>
    </row>
    <row r="41" spans="2:2">
      <c r="B41" t="s">
        <v>64</v>
      </c>
    </row>
    <row r="42" spans="2:2">
      <c r="B42" t="s">
        <v>65</v>
      </c>
    </row>
    <row r="43" spans="2:2">
      <c r="B43" t="s">
        <v>66</v>
      </c>
    </row>
    <row r="44" spans="2:2">
      <c r="B44" t="s">
        <v>67</v>
      </c>
    </row>
    <row r="45" spans="2:2">
      <c r="B45" t="s">
        <v>68</v>
      </c>
    </row>
    <row r="46" spans="2:2">
      <c r="B46" t="s">
        <v>69</v>
      </c>
    </row>
    <row r="47" spans="2:2">
      <c r="B47" t="s">
        <v>70</v>
      </c>
    </row>
    <row r="48" spans="2:2">
      <c r="B48" t="s">
        <v>71</v>
      </c>
    </row>
    <row r="49" spans="2:2">
      <c r="B49" t="s">
        <v>72</v>
      </c>
    </row>
    <row r="50" spans="2:2">
      <c r="B50" t="s">
        <v>73</v>
      </c>
    </row>
    <row r="51" spans="2:2">
      <c r="B51" t="s">
        <v>74</v>
      </c>
    </row>
    <row r="52" spans="2:2">
      <c r="B52" t="s">
        <v>75</v>
      </c>
    </row>
    <row r="53" spans="2:2">
      <c r="B53" t="s">
        <v>76</v>
      </c>
    </row>
    <row r="54" spans="2:2">
      <c r="B54" t="s">
        <v>77</v>
      </c>
    </row>
    <row r="55" spans="2:2">
      <c r="B55" t="s">
        <v>78</v>
      </c>
    </row>
    <row r="56" spans="2:2">
      <c r="B56" t="s">
        <v>79</v>
      </c>
    </row>
    <row r="57" spans="2:2">
      <c r="B57" t="s">
        <v>80</v>
      </c>
    </row>
    <row r="58" spans="2:2">
      <c r="B58" t="s">
        <v>81</v>
      </c>
    </row>
    <row r="59" spans="2:2">
      <c r="B59" t="s">
        <v>82</v>
      </c>
    </row>
    <row r="60" spans="2:2">
      <c r="B60" t="s">
        <v>83</v>
      </c>
    </row>
    <row r="61" spans="2:2">
      <c r="B61" t="s">
        <v>84</v>
      </c>
    </row>
    <row r="62" spans="2:2">
      <c r="B62" t="s">
        <v>85</v>
      </c>
    </row>
    <row r="63" spans="2:2">
      <c r="B63" t="s">
        <v>86</v>
      </c>
    </row>
    <row r="64" spans="2:2">
      <c r="B64" t="s">
        <v>87</v>
      </c>
    </row>
    <row r="65" spans="2:2">
      <c r="B65" t="s">
        <v>88</v>
      </c>
    </row>
    <row r="66" spans="2:2">
      <c r="B66" t="s">
        <v>89</v>
      </c>
    </row>
    <row r="67" spans="2:2">
      <c r="B67" t="s">
        <v>90</v>
      </c>
    </row>
    <row r="68" spans="2:2">
      <c r="B68" t="s">
        <v>91</v>
      </c>
    </row>
    <row r="69" spans="2:2">
      <c r="B69" t="s">
        <v>92</v>
      </c>
    </row>
    <row r="70" spans="2:2">
      <c r="B70" t="s">
        <v>93</v>
      </c>
    </row>
    <row r="71" spans="2:2">
      <c r="B71" t="s">
        <v>94</v>
      </c>
    </row>
    <row r="72" spans="2:2">
      <c r="B72" t="s">
        <v>95</v>
      </c>
    </row>
    <row r="73" spans="2:2">
      <c r="B73" t="s">
        <v>96</v>
      </c>
    </row>
  </sheetData>
  <phoneticPr fontId="1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0"/>
  <sheetViews>
    <sheetView showGridLines="0" workbookViewId="0">
      <selection activeCell="A26" sqref="A26"/>
    </sheetView>
  </sheetViews>
  <sheetFormatPr defaultRowHeight="15"/>
  <cols>
    <col min="1" max="1" width="36" customWidth="1"/>
    <col min="2" max="2" width="48" customWidth="1"/>
  </cols>
  <sheetData>
    <row r="1" spans="1:2" ht="22.2">
      <c r="A1" s="1" t="s">
        <v>0</v>
      </c>
    </row>
    <row r="3" spans="1:2">
      <c r="A3" s="2" t="s">
        <v>1</v>
      </c>
    </row>
    <row r="4" spans="1:2">
      <c r="A4" t="s">
        <v>2</v>
      </c>
      <c r="B4" t="s">
        <v>3</v>
      </c>
    </row>
    <row r="5" spans="1:2">
      <c r="A5" t="s">
        <v>4</v>
      </c>
      <c r="B5" t="s">
        <v>5</v>
      </c>
    </row>
    <row r="6" spans="1:2">
      <c r="A6" t="s">
        <v>6</v>
      </c>
      <c r="B6" t="s">
        <v>7</v>
      </c>
    </row>
    <row r="7" spans="1:2">
      <c r="A7" t="s">
        <v>8</v>
      </c>
      <c r="B7" t="s">
        <v>9</v>
      </c>
    </row>
    <row r="8" spans="1:2">
      <c r="A8" t="s">
        <v>10</v>
      </c>
      <c r="B8" t="s">
        <v>11</v>
      </c>
    </row>
    <row r="11" spans="1:2">
      <c r="A11" s="2" t="s">
        <v>12</v>
      </c>
    </row>
    <row r="12" spans="1:2">
      <c r="A12" t="s">
        <v>13</v>
      </c>
    </row>
    <row r="13" spans="1:2">
      <c r="A13" t="s">
        <v>14</v>
      </c>
    </row>
    <row r="14" spans="1:2">
      <c r="A14" t="s">
        <v>15</v>
      </c>
    </row>
    <row r="15" spans="1:2">
      <c r="A15" t="s">
        <v>16</v>
      </c>
    </row>
    <row r="16" spans="1:2">
      <c r="A16" t="s">
        <v>17</v>
      </c>
    </row>
    <row r="17" spans="1:1">
      <c r="A17" t="s">
        <v>18</v>
      </c>
    </row>
    <row r="20" spans="1:1">
      <c r="A20" s="3" t="s">
        <v>19</v>
      </c>
    </row>
  </sheetData>
  <phoneticPr fontId="1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0"/>
  <sheetViews>
    <sheetView workbookViewId="0">
      <pane ySplit="1" topLeftCell="A2" activePane="bottomLeft" state="frozen"/>
      <selection pane="bottomLeft" activeCell="F16" sqref="F16"/>
    </sheetView>
  </sheetViews>
  <sheetFormatPr defaultRowHeight="15"/>
  <cols>
    <col min="1" max="1" width="18" customWidth="1"/>
    <col min="2" max="2" width="10" customWidth="1"/>
    <col min="3" max="3" width="22" customWidth="1"/>
    <col min="4" max="4" width="12" customWidth="1"/>
    <col min="5" max="6" width="10" customWidth="1"/>
    <col min="7" max="7" width="28" customWidth="1"/>
  </cols>
  <sheetData>
    <row r="1" spans="1:7">
      <c r="A1" s="4" t="s">
        <v>97</v>
      </c>
      <c r="B1" s="4" t="s">
        <v>98</v>
      </c>
      <c r="C1" s="4" t="s">
        <v>99</v>
      </c>
      <c r="D1" s="4" t="s">
        <v>100</v>
      </c>
      <c r="E1" s="4" t="s">
        <v>101</v>
      </c>
      <c r="F1" s="4" t="s">
        <v>102</v>
      </c>
      <c r="G1" s="4" t="s">
        <v>103</v>
      </c>
    </row>
    <row r="2" spans="1:7">
      <c r="A2" s="22" t="s">
        <v>179</v>
      </c>
      <c r="B2" s="6">
        <v>208</v>
      </c>
      <c r="C2" s="5" t="s">
        <v>22</v>
      </c>
      <c r="D2" s="6">
        <v>2500</v>
      </c>
      <c r="E2" s="7">
        <v>0.88</v>
      </c>
      <c r="F2" s="7">
        <v>0.9</v>
      </c>
      <c r="G2" s="8" t="s">
        <v>104</v>
      </c>
    </row>
    <row r="3" spans="1:7">
      <c r="A3" s="5" t="s">
        <v>105</v>
      </c>
      <c r="B3" s="6">
        <v>198</v>
      </c>
      <c r="C3" s="5" t="s">
        <v>24</v>
      </c>
      <c r="D3" s="6">
        <v>0</v>
      </c>
      <c r="E3" s="7">
        <v>1</v>
      </c>
      <c r="F3" s="7">
        <v>0.9</v>
      </c>
      <c r="G3" s="8" t="s">
        <v>106</v>
      </c>
    </row>
    <row r="4" spans="1:7">
      <c r="A4" s="5" t="s">
        <v>181</v>
      </c>
      <c r="B4" s="6">
        <v>196</v>
      </c>
      <c r="C4" s="5" t="s">
        <v>24</v>
      </c>
      <c r="D4" s="6">
        <v>0</v>
      </c>
      <c r="E4" s="7">
        <v>1</v>
      </c>
      <c r="F4" s="7">
        <v>0.9</v>
      </c>
      <c r="G4" s="8" t="s">
        <v>107</v>
      </c>
    </row>
    <row r="5" spans="1:7">
      <c r="A5" s="5" t="s">
        <v>197</v>
      </c>
      <c r="B5" s="6">
        <v>196</v>
      </c>
      <c r="C5" s="5"/>
      <c r="D5" s="6"/>
      <c r="E5" s="7"/>
      <c r="F5" s="7"/>
      <c r="G5" s="8"/>
    </row>
    <row r="6" spans="1:7">
      <c r="A6" s="5"/>
      <c r="B6" s="6"/>
      <c r="C6" s="5"/>
      <c r="D6" s="6"/>
      <c r="E6" s="7"/>
      <c r="F6" s="7"/>
      <c r="G6" s="8"/>
    </row>
    <row r="7" spans="1:7">
      <c r="A7" s="5"/>
      <c r="B7" s="6"/>
      <c r="C7" s="5"/>
      <c r="D7" s="6"/>
      <c r="E7" s="7"/>
      <c r="F7" s="7"/>
      <c r="G7" s="8"/>
    </row>
    <row r="8" spans="1:7">
      <c r="A8" s="5"/>
      <c r="B8" s="6"/>
      <c r="C8" s="5"/>
      <c r="D8" s="6"/>
      <c r="E8" s="7"/>
      <c r="F8" s="7"/>
      <c r="G8" s="8"/>
    </row>
    <row r="9" spans="1:7">
      <c r="A9" s="5"/>
      <c r="B9" s="6"/>
      <c r="C9" s="5"/>
      <c r="D9" s="6"/>
      <c r="E9" s="7"/>
      <c r="F9" s="7"/>
      <c r="G9" s="8"/>
    </row>
    <row r="10" spans="1:7">
      <c r="A10" s="5"/>
      <c r="B10" s="6"/>
      <c r="C10" s="5"/>
      <c r="D10" s="6"/>
      <c r="E10" s="7"/>
      <c r="F10" s="7"/>
      <c r="G10" s="8"/>
    </row>
    <row r="11" spans="1:7">
      <c r="A11" s="5"/>
      <c r="B11" s="6"/>
      <c r="C11" s="5"/>
      <c r="D11" s="6"/>
      <c r="E11" s="7"/>
      <c r="F11" s="7"/>
      <c r="G11" s="8"/>
    </row>
    <row r="12" spans="1:7">
      <c r="A12" s="5"/>
      <c r="B12" s="6"/>
      <c r="C12" s="5"/>
      <c r="D12" s="6"/>
      <c r="E12" s="7"/>
      <c r="F12" s="7"/>
      <c r="G12" s="8"/>
    </row>
    <row r="13" spans="1:7">
      <c r="A13" s="5"/>
      <c r="B13" s="6"/>
      <c r="C13" s="5"/>
      <c r="D13" s="6"/>
      <c r="E13" s="7"/>
      <c r="F13" s="7"/>
      <c r="G13" s="8"/>
    </row>
    <row r="14" spans="1:7">
      <c r="A14" s="5"/>
      <c r="B14" s="6"/>
      <c r="C14" s="5"/>
      <c r="D14" s="6"/>
      <c r="E14" s="7"/>
      <c r="F14" s="7"/>
      <c r="G14" s="8"/>
    </row>
    <row r="15" spans="1:7">
      <c r="A15" s="5"/>
      <c r="B15" s="6"/>
      <c r="C15" s="5"/>
      <c r="D15" s="6"/>
      <c r="E15" s="7"/>
      <c r="F15" s="7"/>
      <c r="G15" s="8"/>
    </row>
    <row r="16" spans="1:7">
      <c r="A16" s="5"/>
      <c r="B16" s="6"/>
      <c r="C16" s="5"/>
      <c r="D16" s="6"/>
      <c r="E16" s="7"/>
      <c r="F16" s="7"/>
      <c r="G16" s="8"/>
    </row>
    <row r="17" spans="1:7">
      <c r="A17" s="5"/>
      <c r="B17" s="6"/>
      <c r="C17" s="5"/>
      <c r="D17" s="6"/>
      <c r="E17" s="7"/>
      <c r="F17" s="7"/>
      <c r="G17" s="8"/>
    </row>
    <row r="18" spans="1:7">
      <c r="A18" s="5"/>
      <c r="B18" s="6"/>
      <c r="C18" s="5"/>
      <c r="D18" s="6"/>
      <c r="E18" s="7"/>
      <c r="F18" s="7"/>
      <c r="G18" s="8"/>
    </row>
    <row r="19" spans="1:7">
      <c r="A19" s="5"/>
      <c r="B19" s="6"/>
      <c r="C19" s="5"/>
      <c r="D19" s="6"/>
      <c r="E19" s="7"/>
      <c r="F19" s="7"/>
      <c r="G19" s="8"/>
    </row>
    <row r="20" spans="1:7">
      <c r="A20" s="5"/>
      <c r="B20" s="6"/>
      <c r="C20" s="5"/>
      <c r="D20" s="6"/>
      <c r="E20" s="7"/>
      <c r="F20" s="7"/>
      <c r="G20" s="8"/>
    </row>
    <row r="21" spans="1:7">
      <c r="A21" s="5"/>
      <c r="B21" s="6"/>
      <c r="C21" s="5"/>
      <c r="D21" s="6"/>
      <c r="E21" s="7"/>
      <c r="F21" s="7"/>
      <c r="G21" s="8"/>
    </row>
    <row r="22" spans="1:7">
      <c r="A22" s="5"/>
      <c r="B22" s="6"/>
      <c r="C22" s="5"/>
      <c r="D22" s="6"/>
      <c r="E22" s="7"/>
      <c r="F22" s="7"/>
      <c r="G22" s="8"/>
    </row>
    <row r="23" spans="1:7">
      <c r="A23" s="5"/>
      <c r="B23" s="6"/>
      <c r="C23" s="5"/>
      <c r="D23" s="6"/>
      <c r="E23" s="7"/>
      <c r="F23" s="7"/>
      <c r="G23" s="8"/>
    </row>
    <row r="24" spans="1:7">
      <c r="A24" s="5"/>
      <c r="B24" s="6"/>
      <c r="C24" s="5"/>
      <c r="D24" s="6"/>
      <c r="E24" s="7"/>
      <c r="F24" s="7"/>
      <c r="G24" s="8"/>
    </row>
    <row r="25" spans="1:7">
      <c r="A25" s="5"/>
      <c r="B25" s="6"/>
      <c r="C25" s="5"/>
      <c r="D25" s="6"/>
      <c r="E25" s="7"/>
      <c r="F25" s="7"/>
      <c r="G25" s="8"/>
    </row>
    <row r="26" spans="1:7">
      <c r="A26" s="5"/>
      <c r="B26" s="6"/>
      <c r="C26" s="5"/>
      <c r="D26" s="6"/>
      <c r="E26" s="7"/>
      <c r="F26" s="7"/>
      <c r="G26" s="8"/>
    </row>
    <row r="27" spans="1:7">
      <c r="A27" s="5"/>
      <c r="B27" s="6"/>
      <c r="C27" s="5"/>
      <c r="D27" s="6"/>
      <c r="E27" s="7"/>
      <c r="F27" s="7"/>
      <c r="G27" s="8"/>
    </row>
    <row r="28" spans="1:7">
      <c r="A28" s="5"/>
      <c r="B28" s="6"/>
      <c r="C28" s="5"/>
      <c r="D28" s="6"/>
      <c r="E28" s="7"/>
      <c r="F28" s="7"/>
      <c r="G28" s="8"/>
    </row>
    <row r="29" spans="1:7">
      <c r="A29" s="5"/>
      <c r="B29" s="6"/>
      <c r="C29" s="5"/>
      <c r="D29" s="6"/>
      <c r="E29" s="7"/>
      <c r="F29" s="7"/>
      <c r="G29" s="8"/>
    </row>
    <row r="30" spans="1:7">
      <c r="A30" s="5"/>
      <c r="B30" s="6"/>
      <c r="C30" s="5"/>
      <c r="D30" s="6"/>
      <c r="E30" s="7"/>
      <c r="F30" s="7"/>
      <c r="G30" s="8"/>
    </row>
    <row r="31" spans="1:7">
      <c r="A31" s="5"/>
      <c r="B31" s="6"/>
      <c r="C31" s="5"/>
      <c r="D31" s="6"/>
      <c r="E31" s="7"/>
      <c r="F31" s="7"/>
      <c r="G31" s="8"/>
    </row>
    <row r="32" spans="1:7">
      <c r="A32" s="5"/>
      <c r="B32" s="6"/>
      <c r="C32" s="5"/>
      <c r="D32" s="6"/>
      <c r="E32" s="7"/>
      <c r="F32" s="7"/>
      <c r="G32" s="8"/>
    </row>
    <row r="33" spans="1:7">
      <c r="A33" s="5"/>
      <c r="B33" s="6"/>
      <c r="C33" s="5"/>
      <c r="D33" s="6"/>
      <c r="E33" s="7"/>
      <c r="F33" s="7"/>
      <c r="G33" s="8"/>
    </row>
    <row r="34" spans="1:7">
      <c r="A34" s="5"/>
      <c r="B34" s="6"/>
      <c r="C34" s="5"/>
      <c r="D34" s="6"/>
      <c r="E34" s="7"/>
      <c r="F34" s="7"/>
      <c r="G34" s="8"/>
    </row>
    <row r="35" spans="1:7">
      <c r="A35" s="5"/>
      <c r="B35" s="6"/>
      <c r="C35" s="5"/>
      <c r="D35" s="6"/>
      <c r="E35" s="7"/>
      <c r="F35" s="7"/>
      <c r="G35" s="8"/>
    </row>
    <row r="36" spans="1:7">
      <c r="A36" s="5"/>
      <c r="B36" s="6"/>
      <c r="C36" s="5"/>
      <c r="D36" s="6"/>
      <c r="E36" s="7"/>
      <c r="F36" s="7"/>
      <c r="G36" s="8"/>
    </row>
    <row r="37" spans="1:7">
      <c r="A37" s="5"/>
      <c r="B37" s="6"/>
      <c r="C37" s="5"/>
      <c r="D37" s="6"/>
      <c r="E37" s="7"/>
      <c r="F37" s="7"/>
      <c r="G37" s="8"/>
    </row>
    <row r="38" spans="1:7">
      <c r="A38" s="5"/>
      <c r="B38" s="6"/>
      <c r="C38" s="5"/>
      <c r="D38" s="6"/>
      <c r="E38" s="7"/>
      <c r="F38" s="7"/>
      <c r="G38" s="8"/>
    </row>
    <row r="39" spans="1:7">
      <c r="A39" s="5"/>
      <c r="B39" s="6"/>
      <c r="C39" s="5"/>
      <c r="D39" s="6"/>
      <c r="E39" s="7"/>
      <c r="F39" s="7"/>
      <c r="G39" s="8"/>
    </row>
    <row r="40" spans="1:7">
      <c r="A40" s="5"/>
      <c r="B40" s="6"/>
      <c r="C40" s="5"/>
      <c r="D40" s="6"/>
      <c r="E40" s="7"/>
      <c r="F40" s="7"/>
      <c r="G40" s="8"/>
    </row>
    <row r="41" spans="1:7">
      <c r="A41" s="5"/>
      <c r="B41" s="6"/>
      <c r="C41" s="5"/>
      <c r="D41" s="6"/>
      <c r="E41" s="7"/>
      <c r="F41" s="7"/>
      <c r="G41" s="8"/>
    </row>
    <row r="42" spans="1:7">
      <c r="A42" s="5"/>
      <c r="B42" s="6"/>
      <c r="C42" s="5"/>
      <c r="D42" s="6"/>
      <c r="E42" s="7"/>
      <c r="F42" s="7"/>
      <c r="G42" s="8"/>
    </row>
    <row r="43" spans="1:7">
      <c r="A43" s="5"/>
      <c r="B43" s="6"/>
      <c r="C43" s="5"/>
      <c r="D43" s="6"/>
      <c r="E43" s="7"/>
      <c r="F43" s="7"/>
      <c r="G43" s="8"/>
    </row>
    <row r="44" spans="1:7">
      <c r="A44" s="5"/>
      <c r="B44" s="6"/>
      <c r="C44" s="5"/>
      <c r="D44" s="6"/>
      <c r="E44" s="7"/>
      <c r="F44" s="7"/>
      <c r="G44" s="8"/>
    </row>
    <row r="45" spans="1:7">
      <c r="A45" s="5"/>
      <c r="B45" s="6"/>
      <c r="C45" s="5"/>
      <c r="D45" s="6"/>
      <c r="E45" s="7"/>
      <c r="F45" s="7"/>
      <c r="G45" s="8"/>
    </row>
    <row r="46" spans="1:7">
      <c r="A46" s="5"/>
      <c r="B46" s="6"/>
      <c r="C46" s="5"/>
      <c r="D46" s="6"/>
      <c r="E46" s="7"/>
      <c r="F46" s="7"/>
      <c r="G46" s="8"/>
    </row>
    <row r="47" spans="1:7">
      <c r="A47" s="5"/>
      <c r="B47" s="6"/>
      <c r="C47" s="5"/>
      <c r="D47" s="6"/>
      <c r="E47" s="7"/>
      <c r="F47" s="7"/>
      <c r="G47" s="8"/>
    </row>
    <row r="48" spans="1:7">
      <c r="A48" s="5"/>
      <c r="B48" s="6"/>
      <c r="C48" s="5"/>
      <c r="D48" s="6"/>
      <c r="E48" s="7"/>
      <c r="F48" s="7"/>
      <c r="G48" s="8"/>
    </row>
    <row r="49" spans="1:7">
      <c r="A49" s="5"/>
      <c r="B49" s="6"/>
      <c r="C49" s="5"/>
      <c r="D49" s="6"/>
      <c r="E49" s="7"/>
      <c r="F49" s="7"/>
      <c r="G49" s="8"/>
    </row>
    <row r="50" spans="1:7">
      <c r="A50" s="5"/>
      <c r="B50" s="6"/>
      <c r="C50" s="5"/>
      <c r="D50" s="6"/>
      <c r="E50" s="7"/>
      <c r="F50" s="7"/>
      <c r="G50" s="8"/>
    </row>
    <row r="51" spans="1:7">
      <c r="A51" s="5"/>
      <c r="B51" s="6"/>
      <c r="C51" s="5"/>
      <c r="D51" s="6"/>
      <c r="E51" s="7"/>
      <c r="F51" s="7"/>
      <c r="G51" s="8"/>
    </row>
    <row r="52" spans="1:7">
      <c r="A52" s="5"/>
      <c r="B52" s="6"/>
      <c r="C52" s="5"/>
      <c r="D52" s="6"/>
      <c r="E52" s="7"/>
      <c r="F52" s="7"/>
      <c r="G52" s="8"/>
    </row>
    <row r="53" spans="1:7">
      <c r="A53" s="5"/>
      <c r="B53" s="6"/>
      <c r="C53" s="5"/>
      <c r="D53" s="6"/>
      <c r="E53" s="7"/>
      <c r="F53" s="7"/>
      <c r="G53" s="8"/>
    </row>
    <row r="54" spans="1:7">
      <c r="A54" s="5"/>
      <c r="B54" s="6"/>
      <c r="C54" s="5"/>
      <c r="D54" s="6"/>
      <c r="E54" s="7"/>
      <c r="F54" s="7"/>
      <c r="G54" s="8"/>
    </row>
    <row r="55" spans="1:7">
      <c r="A55" s="5"/>
      <c r="B55" s="6"/>
      <c r="C55" s="5"/>
      <c r="D55" s="6"/>
      <c r="E55" s="7"/>
      <c r="F55" s="7"/>
      <c r="G55" s="8"/>
    </row>
    <row r="56" spans="1:7">
      <c r="A56" s="5"/>
      <c r="B56" s="6"/>
      <c r="C56" s="5"/>
      <c r="D56" s="6"/>
      <c r="E56" s="7"/>
      <c r="F56" s="7"/>
      <c r="G56" s="8"/>
    </row>
    <row r="57" spans="1:7">
      <c r="A57" s="5"/>
      <c r="B57" s="6"/>
      <c r="C57" s="5"/>
      <c r="D57" s="6"/>
      <c r="E57" s="7"/>
      <c r="F57" s="7"/>
      <c r="G57" s="8"/>
    </row>
    <row r="58" spans="1:7">
      <c r="A58" s="5"/>
      <c r="B58" s="6"/>
      <c r="C58" s="5"/>
      <c r="D58" s="6"/>
      <c r="E58" s="7"/>
      <c r="F58" s="7"/>
      <c r="G58" s="8"/>
    </row>
    <row r="59" spans="1:7">
      <c r="A59" s="5"/>
      <c r="B59" s="6"/>
      <c r="C59" s="5"/>
      <c r="D59" s="6"/>
      <c r="E59" s="7"/>
      <c r="F59" s="7"/>
      <c r="G59" s="8"/>
    </row>
    <row r="60" spans="1:7">
      <c r="A60" s="5"/>
      <c r="B60" s="6"/>
      <c r="C60" s="5"/>
      <c r="D60" s="6"/>
      <c r="E60" s="7"/>
      <c r="F60" s="7"/>
      <c r="G60" s="8"/>
    </row>
    <row r="61" spans="1:7">
      <c r="A61" s="5"/>
      <c r="B61" s="6"/>
      <c r="C61" s="5"/>
      <c r="D61" s="6"/>
      <c r="E61" s="7"/>
      <c r="F61" s="7"/>
      <c r="G61" s="8"/>
    </row>
    <row r="62" spans="1:7">
      <c r="A62" s="5"/>
      <c r="B62" s="6"/>
      <c r="C62" s="5"/>
      <c r="D62" s="6"/>
      <c r="E62" s="7"/>
      <c r="F62" s="7"/>
      <c r="G62" s="8"/>
    </row>
    <row r="63" spans="1:7">
      <c r="A63" s="5"/>
      <c r="B63" s="6"/>
      <c r="C63" s="5"/>
      <c r="D63" s="6"/>
      <c r="E63" s="7"/>
      <c r="F63" s="7"/>
      <c r="G63" s="8"/>
    </row>
    <row r="64" spans="1:7">
      <c r="A64" s="5"/>
      <c r="B64" s="6"/>
      <c r="C64" s="5"/>
      <c r="D64" s="6"/>
      <c r="E64" s="7"/>
      <c r="F64" s="7"/>
      <c r="G64" s="8"/>
    </row>
    <row r="65" spans="1:7">
      <c r="A65" s="5"/>
      <c r="B65" s="6"/>
      <c r="C65" s="5"/>
      <c r="D65" s="6"/>
      <c r="E65" s="7"/>
      <c r="F65" s="7"/>
      <c r="G65" s="8"/>
    </row>
    <row r="66" spans="1:7">
      <c r="A66" s="5"/>
      <c r="B66" s="6"/>
      <c r="C66" s="5"/>
      <c r="D66" s="6"/>
      <c r="E66" s="7"/>
      <c r="F66" s="7"/>
      <c r="G66" s="8"/>
    </row>
    <row r="67" spans="1:7">
      <c r="A67" s="5"/>
      <c r="B67" s="6"/>
      <c r="C67" s="5"/>
      <c r="D67" s="6"/>
      <c r="E67" s="7"/>
      <c r="F67" s="7"/>
      <c r="G67" s="8"/>
    </row>
    <row r="68" spans="1:7">
      <c r="A68" s="5"/>
      <c r="B68" s="6"/>
      <c r="C68" s="5"/>
      <c r="D68" s="6"/>
      <c r="E68" s="7"/>
      <c r="F68" s="7"/>
      <c r="G68" s="8"/>
    </row>
    <row r="69" spans="1:7">
      <c r="A69" s="5"/>
      <c r="B69" s="6"/>
      <c r="C69" s="5"/>
      <c r="D69" s="6"/>
      <c r="E69" s="7"/>
      <c r="F69" s="7"/>
      <c r="G69" s="8"/>
    </row>
    <row r="70" spans="1:7">
      <c r="A70" s="5"/>
      <c r="B70" s="6"/>
      <c r="C70" s="5"/>
      <c r="D70" s="6"/>
      <c r="E70" s="7"/>
      <c r="F70" s="7"/>
      <c r="G70" s="8"/>
    </row>
    <row r="71" spans="1:7">
      <c r="A71" s="5"/>
      <c r="B71" s="6"/>
      <c r="C71" s="5"/>
      <c r="D71" s="6"/>
      <c r="E71" s="7"/>
      <c r="F71" s="7"/>
      <c r="G71" s="8"/>
    </row>
    <row r="72" spans="1:7">
      <c r="A72" s="5"/>
      <c r="B72" s="6"/>
      <c r="C72" s="5"/>
      <c r="D72" s="6"/>
      <c r="E72" s="7"/>
      <c r="F72" s="7"/>
      <c r="G72" s="8"/>
    </row>
    <row r="73" spans="1:7">
      <c r="A73" s="5"/>
      <c r="B73" s="6"/>
      <c r="C73" s="5"/>
      <c r="D73" s="6"/>
      <c r="E73" s="7"/>
      <c r="F73" s="7"/>
      <c r="G73" s="8"/>
    </row>
    <row r="74" spans="1:7">
      <c r="A74" s="5"/>
      <c r="B74" s="6"/>
      <c r="C74" s="5"/>
      <c r="D74" s="6"/>
      <c r="E74" s="7"/>
      <c r="F74" s="7"/>
      <c r="G74" s="8"/>
    </row>
    <row r="75" spans="1:7">
      <c r="A75" s="5"/>
      <c r="B75" s="6"/>
      <c r="C75" s="5"/>
      <c r="D75" s="6"/>
      <c r="E75" s="7"/>
      <c r="F75" s="7"/>
      <c r="G75" s="8"/>
    </row>
    <row r="76" spans="1:7">
      <c r="A76" s="5"/>
      <c r="B76" s="6"/>
      <c r="C76" s="5"/>
      <c r="D76" s="6"/>
      <c r="E76" s="7"/>
      <c r="F76" s="7"/>
      <c r="G76" s="8"/>
    </row>
    <row r="77" spans="1:7">
      <c r="A77" s="5"/>
      <c r="B77" s="6"/>
      <c r="C77" s="5"/>
      <c r="D77" s="6"/>
      <c r="E77" s="7"/>
      <c r="F77" s="7"/>
      <c r="G77" s="8"/>
    </row>
    <row r="78" spans="1:7">
      <c r="A78" s="5"/>
      <c r="B78" s="6"/>
      <c r="C78" s="5"/>
      <c r="D78" s="6"/>
      <c r="E78" s="7"/>
      <c r="F78" s="7"/>
      <c r="G78" s="8"/>
    </row>
    <row r="79" spans="1:7">
      <c r="A79" s="5"/>
      <c r="B79" s="6"/>
      <c r="C79" s="5"/>
      <c r="D79" s="6"/>
      <c r="E79" s="7"/>
      <c r="F79" s="7"/>
      <c r="G79" s="8"/>
    </row>
    <row r="80" spans="1:7">
      <c r="A80" s="5"/>
      <c r="B80" s="6"/>
      <c r="C80" s="5"/>
      <c r="D80" s="6"/>
      <c r="E80" s="7"/>
      <c r="F80" s="7"/>
      <c r="G80" s="8"/>
    </row>
    <row r="81" spans="1:7">
      <c r="A81" s="5"/>
      <c r="B81" s="6"/>
      <c r="C81" s="5"/>
      <c r="D81" s="6"/>
      <c r="E81" s="7"/>
      <c r="F81" s="7"/>
      <c r="G81" s="8"/>
    </row>
    <row r="82" spans="1:7">
      <c r="A82" s="5"/>
      <c r="B82" s="6"/>
      <c r="C82" s="5"/>
      <c r="D82" s="6"/>
      <c r="E82" s="7"/>
      <c r="F82" s="7"/>
      <c r="G82" s="8"/>
    </row>
    <row r="83" spans="1:7">
      <c r="A83" s="5"/>
      <c r="B83" s="6"/>
      <c r="C83" s="5"/>
      <c r="D83" s="6"/>
      <c r="E83" s="7"/>
      <c r="F83" s="7"/>
      <c r="G83" s="8"/>
    </row>
    <row r="84" spans="1:7">
      <c r="A84" s="5"/>
      <c r="B84" s="6"/>
      <c r="C84" s="5"/>
      <c r="D84" s="6"/>
      <c r="E84" s="7"/>
      <c r="F84" s="7"/>
      <c r="G84" s="8"/>
    </row>
    <row r="85" spans="1:7">
      <c r="A85" s="5"/>
      <c r="B85" s="6"/>
      <c r="C85" s="5"/>
      <c r="D85" s="6"/>
      <c r="E85" s="7"/>
      <c r="F85" s="7"/>
      <c r="G85" s="8"/>
    </row>
    <row r="86" spans="1:7">
      <c r="A86" s="5"/>
      <c r="B86" s="6"/>
      <c r="C86" s="5"/>
      <c r="D86" s="6"/>
      <c r="E86" s="7"/>
      <c r="F86" s="7"/>
      <c r="G86" s="8"/>
    </row>
    <row r="87" spans="1:7">
      <c r="A87" s="5"/>
      <c r="B87" s="6"/>
      <c r="C87" s="5"/>
      <c r="D87" s="6"/>
      <c r="E87" s="7"/>
      <c r="F87" s="7"/>
      <c r="G87" s="8"/>
    </row>
    <row r="88" spans="1:7">
      <c r="A88" s="5"/>
      <c r="B88" s="6"/>
      <c r="C88" s="5"/>
      <c r="D88" s="6"/>
      <c r="E88" s="7"/>
      <c r="F88" s="7"/>
      <c r="G88" s="8"/>
    </row>
    <row r="89" spans="1:7">
      <c r="A89" s="5"/>
      <c r="B89" s="6"/>
      <c r="C89" s="5"/>
      <c r="D89" s="6"/>
      <c r="E89" s="7"/>
      <c r="F89" s="7"/>
      <c r="G89" s="8"/>
    </row>
    <row r="90" spans="1:7">
      <c r="A90" s="5"/>
      <c r="B90" s="6"/>
      <c r="C90" s="5"/>
      <c r="D90" s="6"/>
      <c r="E90" s="7"/>
      <c r="F90" s="7"/>
      <c r="G90" s="8"/>
    </row>
    <row r="91" spans="1:7">
      <c r="A91" s="5"/>
      <c r="B91" s="6"/>
      <c r="C91" s="5"/>
      <c r="D91" s="6"/>
      <c r="E91" s="7"/>
      <c r="F91" s="7"/>
      <c r="G91" s="8"/>
    </row>
    <row r="92" spans="1:7">
      <c r="A92" s="5"/>
      <c r="B92" s="6"/>
      <c r="C92" s="5"/>
      <c r="D92" s="6"/>
      <c r="E92" s="7"/>
      <c r="F92" s="7"/>
      <c r="G92" s="8"/>
    </row>
    <row r="93" spans="1:7">
      <c r="A93" s="5"/>
      <c r="B93" s="6"/>
      <c r="C93" s="5"/>
      <c r="D93" s="6"/>
      <c r="E93" s="7"/>
      <c r="F93" s="7"/>
      <c r="G93" s="8"/>
    </row>
    <row r="94" spans="1:7">
      <c r="A94" s="5"/>
      <c r="B94" s="6"/>
      <c r="C94" s="5"/>
      <c r="D94" s="6"/>
      <c r="E94" s="7"/>
      <c r="F94" s="7"/>
      <c r="G94" s="8"/>
    </row>
    <row r="95" spans="1:7">
      <c r="A95" s="5"/>
      <c r="B95" s="6"/>
      <c r="C95" s="5"/>
      <c r="D95" s="6"/>
      <c r="E95" s="7"/>
      <c r="F95" s="7"/>
      <c r="G95" s="8"/>
    </row>
    <row r="96" spans="1:7">
      <c r="A96" s="5"/>
      <c r="B96" s="6"/>
      <c r="C96" s="5"/>
      <c r="D96" s="6"/>
      <c r="E96" s="7"/>
      <c r="F96" s="7"/>
      <c r="G96" s="8"/>
    </row>
    <row r="97" spans="1:7">
      <c r="A97" s="5"/>
      <c r="B97" s="6"/>
      <c r="C97" s="5"/>
      <c r="D97" s="6"/>
      <c r="E97" s="7"/>
      <c r="F97" s="7"/>
      <c r="G97" s="8"/>
    </row>
    <row r="98" spans="1:7">
      <c r="A98" s="5"/>
      <c r="B98" s="6"/>
      <c r="C98" s="5"/>
      <c r="D98" s="6"/>
      <c r="E98" s="7"/>
      <c r="F98" s="7"/>
      <c r="G98" s="8"/>
    </row>
    <row r="99" spans="1:7">
      <c r="A99" s="5"/>
      <c r="B99" s="6"/>
      <c r="C99" s="5"/>
      <c r="D99" s="6"/>
      <c r="E99" s="7"/>
      <c r="F99" s="7"/>
      <c r="G99" s="8"/>
    </row>
    <row r="100" spans="1:7">
      <c r="A100" s="5"/>
      <c r="B100" s="6"/>
      <c r="C100" s="5"/>
      <c r="D100" s="6"/>
      <c r="E100" s="7"/>
      <c r="F100" s="7"/>
      <c r="G100" s="8"/>
    </row>
  </sheetData>
  <autoFilter ref="A1:G100" xr:uid="{00000000-0009-0000-0000-000002000000}"/>
  <phoneticPr fontId="11" type="noConversion"/>
  <dataValidations count="1">
    <dataValidation type="list" allowBlank="1" sqref="C2:C100" xr:uid="{00000000-0002-0000-0200-000000000000}">
      <formula1>DiscountPolicyList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500"/>
  <sheetViews>
    <sheetView workbookViewId="0">
      <pane ySplit="1" topLeftCell="A2" activePane="bottomLeft" state="frozen"/>
      <selection pane="bottomLeft" activeCell="C8" sqref="C8"/>
    </sheetView>
  </sheetViews>
  <sheetFormatPr defaultRowHeight="15"/>
  <cols>
    <col min="1" max="1" width="12" customWidth="1"/>
    <col min="2" max="2" width="10" customWidth="1"/>
    <col min="3" max="3" width="16" customWidth="1"/>
    <col min="4" max="5" width="11" customWidth="1"/>
    <col min="6" max="7" width="12" customWidth="1"/>
    <col min="8" max="8" width="16" customWidth="1"/>
    <col min="9" max="9" width="12" customWidth="1"/>
    <col min="10" max="10" width="24" customWidth="1"/>
    <col min="11" max="11" width="12" customWidth="1"/>
  </cols>
  <sheetData>
    <row r="1" spans="1:11">
      <c r="A1" s="4" t="s">
        <v>108</v>
      </c>
      <c r="B1" s="4" t="s">
        <v>109</v>
      </c>
      <c r="C1" s="4" t="s">
        <v>97</v>
      </c>
      <c r="D1" s="4" t="s">
        <v>110</v>
      </c>
      <c r="E1" s="4" t="s">
        <v>111</v>
      </c>
      <c r="F1" s="4" t="s">
        <v>112</v>
      </c>
      <c r="G1" s="4" t="s">
        <v>113</v>
      </c>
      <c r="H1" s="4" t="s">
        <v>114</v>
      </c>
      <c r="I1" s="4" t="s">
        <v>115</v>
      </c>
      <c r="J1" s="4" t="s">
        <v>116</v>
      </c>
      <c r="K1" s="4" t="s">
        <v>117</v>
      </c>
    </row>
    <row r="2" spans="1:11">
      <c r="A2" s="9">
        <v>46023</v>
      </c>
      <c r="B2" s="10" t="str">
        <f>IF(A2="","",YEAR(A2)&amp;"/"&amp;RIGHT("0"&amp;MONTH(A2),2))</f>
        <v>2026/01</v>
      </c>
      <c r="C2" s="5" t="s">
        <v>105</v>
      </c>
      <c r="D2" s="11">
        <v>0.58333333333333337</v>
      </c>
      <c r="E2" s="11">
        <v>0.89583333333333337</v>
      </c>
      <c r="F2" s="12"/>
      <c r="G2" s="13">
        <f>IF(OR(D2="",E2=""),"",ROUND(MOD(E2-D2,1)*24-F2,2))</f>
        <v>7.5</v>
      </c>
      <c r="H2" s="12"/>
      <c r="I2" s="13">
        <f>IF(H2&lt;&gt;"",H2,G2)</f>
        <v>7.5</v>
      </c>
      <c r="J2" s="5"/>
      <c r="K2" s="6"/>
    </row>
    <row r="3" spans="1:11">
      <c r="A3" s="9">
        <v>46023</v>
      </c>
      <c r="B3" s="10" t="str">
        <f>IF(A3="","",YEAR(A3)&amp;"/"&amp;RIGHT("0"&amp;MONTH(A3),2))</f>
        <v>2026/01</v>
      </c>
      <c r="C3" s="5" t="s">
        <v>178</v>
      </c>
      <c r="D3" s="11">
        <v>0.58333333333333337</v>
      </c>
      <c r="E3" s="11">
        <v>0.89583333333333337</v>
      </c>
      <c r="F3" s="12">
        <v>0</v>
      </c>
      <c r="G3" s="13">
        <f>IF(OR(D3="",E3=""),"",ROUND(MOD(E3-D3,1)*24-F3,2))</f>
        <v>7.5</v>
      </c>
      <c r="H3" s="12"/>
      <c r="I3" s="13">
        <f>IF(H3&lt;&gt;"",H3,G3)</f>
        <v>7.5</v>
      </c>
      <c r="J3" s="5"/>
      <c r="K3" s="6"/>
    </row>
    <row r="4" spans="1:11">
      <c r="A4" s="9">
        <v>46023</v>
      </c>
      <c r="B4" s="10" t="str">
        <f>IF(A4="","",YEAR(A4)&amp;"/"&amp;RIGHT("0"&amp;MONTH(A4),2))</f>
        <v>2026/01</v>
      </c>
      <c r="C4" s="5" t="s">
        <v>180</v>
      </c>
      <c r="D4" s="11">
        <v>0.65277777777777779</v>
      </c>
      <c r="E4" s="11">
        <v>0.81944444444444442</v>
      </c>
      <c r="F4" s="12"/>
      <c r="G4" s="13">
        <f>IF(OR(D4="",E4=""),"",ROUND(MOD(E4-D4,1)*24-F4,2))</f>
        <v>4</v>
      </c>
      <c r="H4" s="12"/>
      <c r="I4" s="13">
        <f>IF(H4&lt;&gt;"",H4,G4)</f>
        <v>4</v>
      </c>
      <c r="J4" s="5"/>
      <c r="K4" s="6"/>
    </row>
    <row r="5" spans="1:11">
      <c r="A5" s="9">
        <v>46023</v>
      </c>
      <c r="B5" s="10" t="str">
        <f>IF(A5="","",YEAR(A5)&amp;"/"&amp;RIGHT("0"&amp;MONTH(A5),2))</f>
        <v>2026/01</v>
      </c>
      <c r="C5" s="5" t="s">
        <v>196</v>
      </c>
      <c r="D5" s="11">
        <v>0.5</v>
      </c>
      <c r="E5" s="11">
        <v>0.66666666666666663</v>
      </c>
      <c r="F5" s="12"/>
      <c r="G5" s="13">
        <f>IF(OR(D5="",E5=""),"",ROUND(MOD(E5-D5,1)*24-F5,2))</f>
        <v>4</v>
      </c>
      <c r="H5" s="12"/>
      <c r="I5" s="13">
        <f>IF(H5&lt;&gt;"",H5,G5)</f>
        <v>4</v>
      </c>
      <c r="J5" s="5"/>
      <c r="K5" s="6"/>
    </row>
    <row r="6" spans="1:11">
      <c r="A6" s="9">
        <v>46024</v>
      </c>
      <c r="B6" s="10" t="str">
        <f>IF(A6="","",YEAR(A6)&amp;"/"&amp;RIGHT("0"&amp;MONTH(A6),2))</f>
        <v>2026/01</v>
      </c>
      <c r="C6" s="5" t="s">
        <v>178</v>
      </c>
      <c r="D6" s="11">
        <v>0.5</v>
      </c>
      <c r="E6" s="11">
        <v>0.85416666666666663</v>
      </c>
      <c r="F6" s="12"/>
      <c r="G6" s="13">
        <f>IF(OR(D6="",E6=""),"",ROUND(MOD(E6-D6,1)*24-F6,2))</f>
        <v>8.5</v>
      </c>
      <c r="H6" s="12"/>
      <c r="I6" s="13">
        <f>IF(H6&lt;&gt;"",H6,G6)</f>
        <v>8.5</v>
      </c>
      <c r="J6" s="5"/>
      <c r="K6" s="6"/>
    </row>
    <row r="7" spans="1:11">
      <c r="A7" s="9">
        <v>46025</v>
      </c>
      <c r="B7" s="10" t="str">
        <f>IF(A7="","",YEAR(A7)&amp;"/"&amp;RIGHT("0"&amp;MONTH(A7),2))</f>
        <v>2026/01</v>
      </c>
      <c r="C7" s="5" t="s">
        <v>105</v>
      </c>
      <c r="D7" s="11">
        <v>0.60416666666666663</v>
      </c>
      <c r="E7" s="11">
        <v>0.875</v>
      </c>
      <c r="F7" s="12"/>
      <c r="G7" s="13">
        <f>IF(OR(D7="",E7=""),"",ROUND(MOD(E7-D7,1)*24-F7,2))</f>
        <v>6.5</v>
      </c>
      <c r="H7" s="12"/>
      <c r="I7" s="13">
        <f>IF(H7&lt;&gt;"",H7,G7)</f>
        <v>6.5</v>
      </c>
      <c r="J7" s="5"/>
      <c r="K7" s="6"/>
    </row>
    <row r="8" spans="1:11">
      <c r="A8" s="9">
        <v>46025</v>
      </c>
      <c r="B8" s="10" t="str">
        <f>IF(A8="","",YEAR(A8)&amp;"/"&amp;RIGHT("0"&amp;MONTH(A8),2))</f>
        <v>2026/01</v>
      </c>
      <c r="C8" s="5" t="s">
        <v>196</v>
      </c>
      <c r="D8" s="11">
        <v>0.5</v>
      </c>
      <c r="E8" s="11">
        <v>0.66666666666666663</v>
      </c>
      <c r="F8" s="12"/>
      <c r="G8" s="13">
        <f>IF(OR(D8="",E8=""),"",ROUND(MOD(E8-D8,1)*24-F8,2))</f>
        <v>4</v>
      </c>
      <c r="H8" s="12"/>
      <c r="I8" s="13">
        <f>IF(H8&lt;&gt;"",H8,G8)</f>
        <v>4</v>
      </c>
      <c r="J8" s="5"/>
      <c r="K8" s="6"/>
    </row>
    <row r="9" spans="1:11">
      <c r="A9" s="9">
        <v>46027</v>
      </c>
      <c r="B9" s="10" t="str">
        <f>IF(A9="","",YEAR(A9)&amp;"/"&amp;RIGHT("0"&amp;MONTH(A9),2))</f>
        <v>2026/01</v>
      </c>
      <c r="C9" s="5" t="s">
        <v>178</v>
      </c>
      <c r="D9" s="11">
        <v>0.45833333333333331</v>
      </c>
      <c r="E9" s="11">
        <v>0.8125</v>
      </c>
      <c r="F9" s="12"/>
      <c r="G9" s="13">
        <f>IF(OR(D9="",E9=""),"",ROUND(MOD(E9-D9,1)*24-F9,2))</f>
        <v>8.5</v>
      </c>
      <c r="H9" s="12"/>
      <c r="I9" s="13">
        <f>IF(H9&lt;&gt;"",H9,G9)</f>
        <v>8.5</v>
      </c>
      <c r="J9" s="5"/>
      <c r="K9" s="6"/>
    </row>
    <row r="10" spans="1:11">
      <c r="A10" s="9">
        <v>46028</v>
      </c>
      <c r="B10" s="10" t="str">
        <f>IF(A10="","",YEAR(A10)&amp;"/"&amp;RIGHT("0"&amp;MONTH(A10),2))</f>
        <v>2026/01</v>
      </c>
      <c r="C10" s="5" t="s">
        <v>178</v>
      </c>
      <c r="D10" s="11">
        <v>0.52083333333333337</v>
      </c>
      <c r="E10" s="11">
        <v>0.83333333333333337</v>
      </c>
      <c r="F10" s="12"/>
      <c r="G10" s="13">
        <f>IF(OR(D10="",E10=""),"",ROUND(MOD(E10-D10,1)*24-F10,2))</f>
        <v>7.5</v>
      </c>
      <c r="H10" s="12"/>
      <c r="I10" s="13">
        <f>IF(H10&lt;&gt;"",H10,G10)</f>
        <v>7.5</v>
      </c>
      <c r="J10" s="5"/>
      <c r="K10" s="6"/>
    </row>
    <row r="11" spans="1:11">
      <c r="A11" s="9">
        <v>46029</v>
      </c>
      <c r="B11" s="10" t="str">
        <f>IF(A11="","",YEAR(A11)&amp;"/"&amp;RIGHT("0"&amp;MONTH(A11),2))</f>
        <v>2026/01</v>
      </c>
      <c r="C11" s="5" t="s">
        <v>105</v>
      </c>
      <c r="D11" s="11">
        <v>0.47916666666666669</v>
      </c>
      <c r="E11" s="11">
        <v>0.72916666666666663</v>
      </c>
      <c r="F11" s="12"/>
      <c r="G11" s="13">
        <f>IF(OR(D11="",E11=""),"",ROUND(MOD(E11-D11,1)*24-F11,2))</f>
        <v>6</v>
      </c>
      <c r="H11" s="12"/>
      <c r="I11" s="13">
        <f>IF(H11&lt;&gt;"",H11,G11)</f>
        <v>6</v>
      </c>
      <c r="J11" s="5"/>
      <c r="K11" s="6"/>
    </row>
    <row r="12" spans="1:11">
      <c r="A12" s="9">
        <v>46030</v>
      </c>
      <c r="B12" s="10" t="str">
        <f>IF(A12="","",YEAR(A12)&amp;"/"&amp;RIGHT("0"&amp;MONTH(A12),2))</f>
        <v>2026/01</v>
      </c>
      <c r="C12" s="5" t="s">
        <v>178</v>
      </c>
      <c r="D12" s="11">
        <v>0.4513888888888889</v>
      </c>
      <c r="E12" s="11">
        <v>0.63888888888888884</v>
      </c>
      <c r="F12" s="12"/>
      <c r="G12" s="13">
        <f>IF(OR(D12="",E12=""),"",ROUND(MOD(E12-D12,1)*24-F12,2))</f>
        <v>4.5</v>
      </c>
      <c r="H12" s="12"/>
      <c r="I12" s="13">
        <f>IF(H12&lt;&gt;"",H12,G12)</f>
        <v>4.5</v>
      </c>
      <c r="J12" s="5"/>
      <c r="K12" s="6"/>
    </row>
    <row r="13" spans="1:11">
      <c r="A13" s="9">
        <v>46031</v>
      </c>
      <c r="B13" s="10" t="str">
        <f>IF(A13="","",YEAR(A13)&amp;"/"&amp;RIGHT("0"&amp;MONTH(A13),2))</f>
        <v>2026/01</v>
      </c>
      <c r="C13" s="5" t="s">
        <v>180</v>
      </c>
      <c r="D13" s="11">
        <v>0.39583333333333331</v>
      </c>
      <c r="E13" s="11">
        <v>0.72916666666666663</v>
      </c>
      <c r="F13" s="12"/>
      <c r="G13" s="13">
        <f>IF(OR(D13="",E13=""),"",ROUND(MOD(E13-D13,1)*24-F13,2))</f>
        <v>8</v>
      </c>
      <c r="H13" s="12"/>
      <c r="I13" s="13">
        <f>IF(H13&lt;&gt;"",H13,G13)</f>
        <v>8</v>
      </c>
      <c r="J13" s="5"/>
      <c r="K13" s="6"/>
    </row>
    <row r="14" spans="1:11">
      <c r="A14" s="9">
        <v>46032</v>
      </c>
      <c r="B14" s="10" t="str">
        <f>IF(A14="","",YEAR(A14)&amp;"/"&amp;RIGHT("0"&amp;MONTH(A14),2))</f>
        <v>2026/01</v>
      </c>
      <c r="C14" s="5" t="s">
        <v>105</v>
      </c>
      <c r="D14" s="11">
        <v>0.54166666666666663</v>
      </c>
      <c r="E14" s="11">
        <v>0.83333333333333337</v>
      </c>
      <c r="F14" s="12"/>
      <c r="G14" s="13">
        <f>IF(OR(D14="",E14=""),"",ROUND(MOD(E14-D14,1)*24-F14,2))</f>
        <v>7</v>
      </c>
      <c r="H14" s="12"/>
      <c r="I14" s="13">
        <f>IF(H14&lt;&gt;"",H14,G14)</f>
        <v>7</v>
      </c>
      <c r="J14" s="5"/>
      <c r="K14" s="6"/>
    </row>
    <row r="15" spans="1:11">
      <c r="A15" s="9">
        <v>46033</v>
      </c>
      <c r="B15" s="10" t="str">
        <f>IF(A15="","",YEAR(A15)&amp;"/"&amp;RIGHT("0"&amp;MONTH(A15),2))</f>
        <v>2026/01</v>
      </c>
      <c r="C15" s="5" t="s">
        <v>105</v>
      </c>
      <c r="D15" s="11">
        <v>0.60416666666666663</v>
      </c>
      <c r="E15" s="11">
        <v>0.8125</v>
      </c>
      <c r="F15" s="12"/>
      <c r="G15" s="13">
        <f>IF(OR(D15="",E15=""),"",ROUND(MOD(E15-D15,1)*24-F15,2))</f>
        <v>5</v>
      </c>
      <c r="H15" s="12"/>
      <c r="I15" s="13">
        <f>IF(H15&lt;&gt;"",H15,G15)</f>
        <v>5</v>
      </c>
      <c r="J15" s="5"/>
      <c r="K15" s="6"/>
    </row>
    <row r="16" spans="1:11">
      <c r="A16" s="9">
        <v>46033</v>
      </c>
      <c r="B16" s="10" t="str">
        <f>IF(A16="","",YEAR(A16)&amp;"/"&amp;RIGHT("0"&amp;MONTH(A16),2))</f>
        <v>2026/01</v>
      </c>
      <c r="C16" s="5" t="s">
        <v>196</v>
      </c>
      <c r="D16" s="11">
        <v>0.5</v>
      </c>
      <c r="E16" s="11">
        <v>0.70833333333333337</v>
      </c>
      <c r="F16" s="12"/>
      <c r="G16" s="13">
        <f>IF(OR(D16="",E16=""),"",ROUND(MOD(E16-D16,1)*24-F16,2))</f>
        <v>5</v>
      </c>
      <c r="H16" s="12"/>
      <c r="I16" s="13">
        <f>IF(H16&lt;&gt;"",H16,G16)</f>
        <v>5</v>
      </c>
      <c r="J16" s="5"/>
      <c r="K16" s="6"/>
    </row>
    <row r="17" spans="1:11">
      <c r="A17" s="9">
        <v>46034</v>
      </c>
      <c r="B17" s="10" t="str">
        <f>IF(A17="","",YEAR(A17)&amp;"/"&amp;RIGHT("0"&amp;MONTH(A17),2))</f>
        <v>2026/01</v>
      </c>
      <c r="C17" s="5" t="s">
        <v>178</v>
      </c>
      <c r="D17" s="11">
        <v>0.40277777777777779</v>
      </c>
      <c r="E17" s="11">
        <v>0.65277777777777779</v>
      </c>
      <c r="F17" s="12"/>
      <c r="G17" s="13">
        <f>IF(OR(D17="",E17=""),"",ROUND(MOD(E17-D17,1)*24-F17,2))</f>
        <v>6</v>
      </c>
      <c r="H17" s="12"/>
      <c r="I17" s="13">
        <f>IF(H17&lt;&gt;"",H17,G17)</f>
        <v>6</v>
      </c>
      <c r="J17" s="5"/>
      <c r="K17" s="6"/>
    </row>
    <row r="18" spans="1:11">
      <c r="A18" s="9">
        <v>46034</v>
      </c>
      <c r="B18" s="10" t="str">
        <f>IF(A18="","",YEAR(A18)&amp;"/"&amp;RIGHT("0"&amp;MONTH(A18),2))</f>
        <v>2026/01</v>
      </c>
      <c r="C18" s="5" t="s">
        <v>180</v>
      </c>
      <c r="D18" s="11">
        <v>0.39583333333333331</v>
      </c>
      <c r="E18" s="11">
        <v>0.64583333333333337</v>
      </c>
      <c r="F18" s="12"/>
      <c r="G18" s="13">
        <f>IF(OR(D18="",E18=""),"",ROUND(MOD(E18-D18,1)*24-F18,2))</f>
        <v>6</v>
      </c>
      <c r="H18" s="12"/>
      <c r="I18" s="13">
        <f>IF(H18&lt;&gt;"",H18,G18)</f>
        <v>6</v>
      </c>
      <c r="J18" s="5"/>
      <c r="K18" s="6"/>
    </row>
    <row r="19" spans="1:11">
      <c r="A19" s="9">
        <v>46035</v>
      </c>
      <c r="B19" s="10" t="str">
        <f>IF(A19="","",YEAR(A19)&amp;"/"&amp;RIGHT("0"&amp;MONTH(A19),2))</f>
        <v>2026/01</v>
      </c>
      <c r="C19" s="5" t="s">
        <v>180</v>
      </c>
      <c r="D19" s="11">
        <v>0.39583333333333331</v>
      </c>
      <c r="E19" s="11">
        <v>0.72916666666666663</v>
      </c>
      <c r="F19" s="12"/>
      <c r="G19" s="13">
        <f>IF(OR(D19="",E19=""),"",ROUND(MOD(E19-D19,1)*24-F19,2))</f>
        <v>8</v>
      </c>
      <c r="H19" s="12"/>
      <c r="I19" s="13">
        <f>IF(H19&lt;&gt;"",H19,G19)</f>
        <v>8</v>
      </c>
      <c r="J19" s="5" t="s">
        <v>182</v>
      </c>
      <c r="K19" s="6">
        <v>58</v>
      </c>
    </row>
    <row r="20" spans="1:11">
      <c r="A20" s="9">
        <v>46036</v>
      </c>
      <c r="B20" s="10" t="str">
        <f>IF(A20="","",YEAR(A20)&amp;"/"&amp;RIGHT("0"&amp;MONTH(A20),2))</f>
        <v>2026/01</v>
      </c>
      <c r="C20" s="5" t="s">
        <v>180</v>
      </c>
      <c r="D20" s="11">
        <v>0.39583333333333331</v>
      </c>
      <c r="E20" s="11">
        <v>0.75</v>
      </c>
      <c r="F20" s="12"/>
      <c r="G20" s="13">
        <f>IF(OR(D20="",E20=""),"",ROUND(MOD(E20-D20,1)*24-F20,2))</f>
        <v>8.5</v>
      </c>
      <c r="H20" s="12"/>
      <c r="I20" s="13">
        <f>IF(H20&lt;&gt;"",H20,G20)</f>
        <v>8.5</v>
      </c>
      <c r="J20" s="5"/>
      <c r="K20" s="6"/>
    </row>
    <row r="21" spans="1:11">
      <c r="A21" s="9">
        <v>46037</v>
      </c>
      <c r="B21" s="10" t="str">
        <f>IF(A21="","",YEAR(A21)&amp;"/"&amp;RIGHT("0"&amp;MONTH(A21),2))</f>
        <v>2026/01</v>
      </c>
      <c r="C21" s="5" t="s">
        <v>178</v>
      </c>
      <c r="D21" s="11">
        <v>0.52083333333333337</v>
      </c>
      <c r="E21" s="11">
        <v>0.79166666666666663</v>
      </c>
      <c r="F21" s="12"/>
      <c r="G21" s="13">
        <f>IF(OR(D21="",E21=""),"",ROUND(MOD(E21-D21,1)*24-F21,2))</f>
        <v>6.5</v>
      </c>
      <c r="H21" s="12"/>
      <c r="I21" s="13">
        <f>IF(H21&lt;&gt;"",H21,G21)</f>
        <v>6.5</v>
      </c>
      <c r="J21" s="5"/>
      <c r="K21" s="6"/>
    </row>
    <row r="22" spans="1:11">
      <c r="A22" s="9">
        <v>46038</v>
      </c>
      <c r="B22" s="10" t="str">
        <f>IF(A22="","",YEAR(A22)&amp;"/"&amp;RIGHT("0"&amp;MONTH(A22),2))</f>
        <v>2026/01</v>
      </c>
      <c r="C22" s="5" t="s">
        <v>180</v>
      </c>
      <c r="D22" s="11">
        <v>0.39583333333333331</v>
      </c>
      <c r="E22" s="11">
        <v>0.66666666666666663</v>
      </c>
      <c r="F22" s="12"/>
      <c r="G22" s="13">
        <f>IF(OR(D22="",E22=""),"",ROUND(MOD(E22-D22,1)*24-F22,2))</f>
        <v>6.5</v>
      </c>
      <c r="H22" s="12"/>
      <c r="I22" s="13">
        <f>IF(H22&lt;&gt;"",H22,G22)</f>
        <v>6.5</v>
      </c>
      <c r="J22" s="5"/>
      <c r="K22" s="6"/>
    </row>
    <row r="23" spans="1:11">
      <c r="A23" s="9">
        <v>46039</v>
      </c>
      <c r="B23" s="10" t="str">
        <f>IF(A23="","",YEAR(A23)&amp;"/"&amp;RIGHT("0"&amp;MONTH(A23),2))</f>
        <v>2026/01</v>
      </c>
      <c r="C23" s="5" t="s">
        <v>105</v>
      </c>
      <c r="D23" s="11">
        <v>0.60416666666666663</v>
      </c>
      <c r="E23" s="11">
        <v>0.79166666666666663</v>
      </c>
      <c r="F23" s="12"/>
      <c r="G23" s="13">
        <f>IF(OR(D23="",E23=""),"",ROUND(MOD(E23-D23,1)*24-F23,2))</f>
        <v>4.5</v>
      </c>
      <c r="H23" s="12"/>
      <c r="I23" s="13">
        <f>IF(H23&lt;&gt;"",H23,G23)</f>
        <v>4.5</v>
      </c>
      <c r="J23" s="5" t="s">
        <v>182</v>
      </c>
      <c r="K23" s="6">
        <v>60</v>
      </c>
    </row>
    <row r="24" spans="1:11">
      <c r="A24" s="9">
        <v>46039</v>
      </c>
      <c r="B24" s="10" t="str">
        <f>IF(A24="","",YEAR(A24)&amp;"/"&amp;RIGHT("0"&amp;MONTH(A24),2))</f>
        <v>2026/01</v>
      </c>
      <c r="C24" s="5" t="s">
        <v>196</v>
      </c>
      <c r="D24" s="11">
        <v>0.5</v>
      </c>
      <c r="E24" s="11">
        <v>0.66666666666666663</v>
      </c>
      <c r="F24" s="12"/>
      <c r="G24" s="13">
        <f>IF(OR(D24="",E24=""),"",ROUND(MOD(E24-D24,1)*24-F24,2))</f>
        <v>4</v>
      </c>
      <c r="H24" s="12"/>
      <c r="I24" s="13">
        <f>IF(H24&lt;&gt;"",H24,G24)</f>
        <v>4</v>
      </c>
      <c r="J24" s="5"/>
      <c r="K24" s="6"/>
    </row>
    <row r="25" spans="1:11">
      <c r="A25" s="9">
        <v>46040</v>
      </c>
      <c r="B25" s="10" t="str">
        <f>IF(A25="","",YEAR(A25)&amp;"/"&amp;RIGHT("0"&amp;MONTH(A25),2))</f>
        <v>2026/01</v>
      </c>
      <c r="C25" s="5" t="s">
        <v>105</v>
      </c>
      <c r="D25" s="11">
        <v>0.64583333333333337</v>
      </c>
      <c r="E25" s="11">
        <v>0.83333333333333337</v>
      </c>
      <c r="F25" s="12"/>
      <c r="G25" s="13">
        <f>IF(OR(D25="",E25=""),"",ROUND(MOD(E25-D25,1)*24-F25,2))</f>
        <v>4.5</v>
      </c>
      <c r="H25" s="12"/>
      <c r="I25" s="13">
        <f>IF(H25&lt;&gt;"",H25,G25)</f>
        <v>4.5</v>
      </c>
      <c r="J25" s="5" t="s">
        <v>182</v>
      </c>
      <c r="K25" s="6">
        <v>60</v>
      </c>
    </row>
    <row r="26" spans="1:11">
      <c r="A26" s="9">
        <v>46041</v>
      </c>
      <c r="B26" s="10" t="str">
        <f>IF(A26="","",YEAR(A26)&amp;"/"&amp;RIGHT("0"&amp;MONTH(A26),2))</f>
        <v>2026/01</v>
      </c>
      <c r="C26" s="5" t="s">
        <v>178</v>
      </c>
      <c r="D26" s="11">
        <v>0.55555555555555558</v>
      </c>
      <c r="E26" s="11">
        <v>0.82638888888888884</v>
      </c>
      <c r="F26" s="12"/>
      <c r="G26" s="13">
        <f>IF(OR(D26="",E26=""),"",ROUND(MOD(E26-D26,1)*24-F26,2))</f>
        <v>6.5</v>
      </c>
      <c r="H26" s="12"/>
      <c r="I26" s="13">
        <f>IF(H26&lt;&gt;"",H26,G26)</f>
        <v>6.5</v>
      </c>
      <c r="J26" s="5" t="s">
        <v>182</v>
      </c>
      <c r="K26" s="6">
        <v>180</v>
      </c>
    </row>
    <row r="27" spans="1:11">
      <c r="A27" s="9">
        <v>46042</v>
      </c>
      <c r="B27" s="10" t="str">
        <f>IF(A27="","",YEAR(A27)&amp;"/"&amp;RIGHT("0"&amp;MONTH(A27),2))</f>
        <v>2026/01</v>
      </c>
      <c r="C27" s="5" t="s">
        <v>178</v>
      </c>
      <c r="D27" s="11">
        <v>0.4861111111111111</v>
      </c>
      <c r="E27" s="11">
        <v>0.67361111111111116</v>
      </c>
      <c r="F27" s="12"/>
      <c r="G27" s="13">
        <f>IF(OR(D27="",E27=""),"",ROUND(MOD(E27-D27,1)*24-F27,2))</f>
        <v>4.5</v>
      </c>
      <c r="H27" s="12"/>
      <c r="I27" s="13">
        <f>IF(H27&lt;&gt;"",H27,G27)</f>
        <v>4.5</v>
      </c>
      <c r="J27" s="5" t="s">
        <v>182</v>
      </c>
      <c r="K27" s="6">
        <v>180</v>
      </c>
    </row>
    <row r="28" spans="1:11">
      <c r="A28" s="9">
        <v>46042</v>
      </c>
      <c r="B28" s="10" t="str">
        <f>IF(A28="","",YEAR(A28)&amp;"/"&amp;RIGHT("0"&amp;MONTH(A28),2))</f>
        <v>2026/01</v>
      </c>
      <c r="C28" s="5" t="s">
        <v>196</v>
      </c>
      <c r="D28" s="11">
        <v>0.5</v>
      </c>
      <c r="E28" s="11">
        <v>0.70833333333333337</v>
      </c>
      <c r="F28" s="12"/>
      <c r="G28" s="13">
        <f>IF(OR(D28="",E28=""),"",ROUND(MOD(E28-D28,1)*24-F28,2))</f>
        <v>5</v>
      </c>
      <c r="H28" s="12"/>
      <c r="I28" s="13">
        <f>IF(H28&lt;&gt;"",H28,G28)</f>
        <v>5</v>
      </c>
      <c r="J28" s="5"/>
      <c r="K28" s="6"/>
    </row>
    <row r="29" spans="1:11">
      <c r="A29" s="9">
        <v>46043</v>
      </c>
      <c r="B29" s="10" t="str">
        <f>IF(A29="","",YEAR(A29)&amp;"/"&amp;RIGHT("0"&amp;MONTH(A29),2))</f>
        <v>2026/01</v>
      </c>
      <c r="C29" s="5" t="s">
        <v>178</v>
      </c>
      <c r="D29" s="11">
        <v>0.52083333333333337</v>
      </c>
      <c r="E29" s="11">
        <v>0.75</v>
      </c>
      <c r="F29" s="12"/>
      <c r="G29" s="13">
        <f>IF(OR(D29="",E29=""),"",ROUND(MOD(E29-D29,1)*24-F29,2))</f>
        <v>5.5</v>
      </c>
      <c r="H29" s="12"/>
      <c r="I29" s="13">
        <f>IF(H29&lt;&gt;"",H29,G29)</f>
        <v>5.5</v>
      </c>
      <c r="J29" s="5"/>
      <c r="K29" s="6"/>
    </row>
    <row r="30" spans="1:11">
      <c r="A30" s="9">
        <v>46043</v>
      </c>
      <c r="B30" s="10" t="str">
        <f>IF(A30="","",YEAR(A30)&amp;"/"&amp;RIGHT("0"&amp;MONTH(A30),2))</f>
        <v>2026/01</v>
      </c>
      <c r="C30" s="5" t="s">
        <v>196</v>
      </c>
      <c r="D30" s="11">
        <v>0.5</v>
      </c>
      <c r="E30" s="11">
        <v>0.66666666666666663</v>
      </c>
      <c r="F30" s="12"/>
      <c r="G30" s="13">
        <f>IF(OR(D30="",E30=""),"",ROUND(MOD(E30-D30,1)*24-F30,2))</f>
        <v>4</v>
      </c>
      <c r="H30" s="12"/>
      <c r="I30" s="13">
        <f>IF(H30&lt;&gt;"",H30,G30)</f>
        <v>4</v>
      </c>
      <c r="J30" s="5"/>
      <c r="K30" s="6"/>
    </row>
    <row r="31" spans="1:11">
      <c r="A31" s="9">
        <v>46044</v>
      </c>
      <c r="B31" s="10" t="str">
        <f>IF(A31="","",YEAR(A31)&amp;"/"&amp;RIGHT("0"&amp;MONTH(A31),2))</f>
        <v>2026/01</v>
      </c>
      <c r="C31" s="5" t="s">
        <v>180</v>
      </c>
      <c r="D31" s="11">
        <v>0.39583333333333331</v>
      </c>
      <c r="E31" s="11">
        <v>0.75</v>
      </c>
      <c r="F31" s="12"/>
      <c r="G31" s="13">
        <f>IF(OR(D31="",E31=""),"",ROUND(MOD(E31-D31,1)*24-F31,2))</f>
        <v>8.5</v>
      </c>
      <c r="H31" s="12"/>
      <c r="I31" s="13">
        <f>IF(H31&lt;&gt;"",H31,G31)</f>
        <v>8.5</v>
      </c>
      <c r="J31" s="5"/>
      <c r="K31" s="6"/>
    </row>
    <row r="32" spans="1:11">
      <c r="A32" s="9">
        <v>46045</v>
      </c>
      <c r="B32" s="10" t="str">
        <f>IF(A32="","",YEAR(A32)&amp;"/"&amp;RIGHT("0"&amp;MONTH(A32),2))</f>
        <v>2026/01</v>
      </c>
      <c r="C32" s="5" t="s">
        <v>180</v>
      </c>
      <c r="D32" s="11">
        <v>0.39583333333333331</v>
      </c>
      <c r="E32" s="11">
        <v>0.8125</v>
      </c>
      <c r="F32" s="12"/>
      <c r="G32" s="13">
        <f>IF(OR(D32="",E32=""),"",ROUND(MOD(E32-D32,1)*24-F32,2))</f>
        <v>10</v>
      </c>
      <c r="H32" s="12"/>
      <c r="I32" s="13">
        <f>IF(H32&lt;&gt;"",H32,G32)</f>
        <v>10</v>
      </c>
      <c r="J32" s="5" t="s">
        <v>198</v>
      </c>
      <c r="K32" s="6">
        <v>200</v>
      </c>
    </row>
    <row r="33" spans="1:11">
      <c r="A33" s="9">
        <v>46046</v>
      </c>
      <c r="B33" s="10" t="str">
        <f>IF(A33="","",YEAR(A33)&amp;"/"&amp;RIGHT("0"&amp;MONTH(A33),2))</f>
        <v>2026/01</v>
      </c>
      <c r="C33" s="5" t="s">
        <v>105</v>
      </c>
      <c r="D33" s="11">
        <v>0.5625</v>
      </c>
      <c r="E33" s="11">
        <v>0.79166666666666663</v>
      </c>
      <c r="F33" s="12"/>
      <c r="G33" s="13">
        <f>IF(OR(D33="",E33=""),"",ROUND(MOD(E33-D33,1)*24-F33,2))</f>
        <v>5.5</v>
      </c>
      <c r="H33" s="12"/>
      <c r="I33" s="13">
        <f>IF(H33&lt;&gt;"",H33,G33)</f>
        <v>5.5</v>
      </c>
      <c r="J33" s="5"/>
      <c r="K33" s="6"/>
    </row>
    <row r="34" spans="1:11">
      <c r="A34" s="9">
        <v>46047</v>
      </c>
      <c r="B34" s="10" t="str">
        <f>IF(A34="","",YEAR(A34)&amp;"/"&amp;RIGHT("0"&amp;MONTH(A34),2))</f>
        <v>2026/01</v>
      </c>
      <c r="C34" s="5" t="s">
        <v>180</v>
      </c>
      <c r="D34" s="11">
        <v>0.39583333333333331</v>
      </c>
      <c r="E34" s="11">
        <v>0.77083333333333337</v>
      </c>
      <c r="F34" s="12"/>
      <c r="G34" s="13">
        <f>IF(OR(D34="",E34=""),"",ROUND(MOD(E34-D34,1)*24-F34,2))</f>
        <v>9</v>
      </c>
      <c r="H34" s="12"/>
      <c r="I34" s="13">
        <f>IF(H34&lt;&gt;"",H34,G34)</f>
        <v>9</v>
      </c>
      <c r="J34" s="5"/>
      <c r="K34" s="6"/>
    </row>
    <row r="35" spans="1:11">
      <c r="A35" s="9">
        <v>46048</v>
      </c>
      <c r="B35" s="10" t="str">
        <f>IF(A35="","",YEAR(A35)&amp;"/"&amp;RIGHT("0"&amp;MONTH(A35),2))</f>
        <v>2026/01</v>
      </c>
      <c r="C35" s="5" t="s">
        <v>178</v>
      </c>
      <c r="D35" s="11">
        <v>0.52083333333333337</v>
      </c>
      <c r="E35" s="11">
        <v>0.75</v>
      </c>
      <c r="F35" s="12"/>
      <c r="G35" s="13">
        <f>IF(OR(D35="",E35=""),"",ROUND(MOD(E35-D35,1)*24-F35,2))</f>
        <v>5.5</v>
      </c>
      <c r="H35" s="12"/>
      <c r="I35" s="13">
        <f>IF(H35&lt;&gt;"",H35,G35)</f>
        <v>5.5</v>
      </c>
      <c r="J35" s="5"/>
      <c r="K35" s="6"/>
    </row>
    <row r="36" spans="1:11">
      <c r="A36" s="9">
        <v>46049</v>
      </c>
      <c r="B36" s="10" t="str">
        <f>IF(A36="","",YEAR(A36)&amp;"/"&amp;RIGHT("0"&amp;MONTH(A36),2))</f>
        <v>2026/01</v>
      </c>
      <c r="C36" s="5" t="s">
        <v>178</v>
      </c>
      <c r="D36" s="11">
        <v>0.59375</v>
      </c>
      <c r="E36" s="11">
        <v>0.80208333333333337</v>
      </c>
      <c r="F36" s="12"/>
      <c r="G36" s="13">
        <f>IF(OR(D36="",E36=""),"",ROUND(MOD(E36-D36,1)*24-F36,2))</f>
        <v>5</v>
      </c>
      <c r="H36" s="12"/>
      <c r="I36" s="13">
        <f>IF(H36&lt;&gt;"",H36,G36)</f>
        <v>5</v>
      </c>
      <c r="J36" s="5"/>
      <c r="K36" s="6"/>
    </row>
    <row r="37" spans="1:11">
      <c r="A37" s="9">
        <v>46049</v>
      </c>
      <c r="B37" s="10" t="str">
        <f>IF(A37="","",YEAR(A37)&amp;"/"&amp;RIGHT("0"&amp;MONTH(A37),2))</f>
        <v>2026/01</v>
      </c>
      <c r="C37" s="5" t="s">
        <v>196</v>
      </c>
      <c r="D37" s="11">
        <v>0.5</v>
      </c>
      <c r="E37" s="11">
        <v>0.66666666666666663</v>
      </c>
      <c r="F37" s="12"/>
      <c r="G37" s="13">
        <f>IF(OR(D37="",E37=""),"",ROUND(MOD(E37-D37,1)*24-F37,2))</f>
        <v>4</v>
      </c>
      <c r="H37" s="12"/>
      <c r="I37" s="13">
        <f>IF(H37&lt;&gt;"",H37,G37)</f>
        <v>4</v>
      </c>
      <c r="J37" s="5"/>
      <c r="K37" s="6"/>
    </row>
    <row r="38" spans="1:11">
      <c r="A38" s="9">
        <v>46050</v>
      </c>
      <c r="B38" s="10" t="str">
        <f>IF(A38="","",YEAR(A38)&amp;"/"&amp;RIGHT("0"&amp;MONTH(A38),2))</f>
        <v>2026/01</v>
      </c>
      <c r="C38" s="5" t="s">
        <v>178</v>
      </c>
      <c r="D38" s="11">
        <v>0.49305555555555558</v>
      </c>
      <c r="E38" s="11">
        <v>0.82638888888888884</v>
      </c>
      <c r="F38" s="12"/>
      <c r="G38" s="13">
        <f>IF(OR(D38="",E38=""),"",ROUND(MOD(E38-D38,1)*24-F38,2))</f>
        <v>8</v>
      </c>
      <c r="H38" s="12"/>
      <c r="I38" s="13">
        <f>IF(H38&lt;&gt;"",H38,G38)</f>
        <v>8</v>
      </c>
      <c r="J38" s="5"/>
      <c r="K38" s="6"/>
    </row>
    <row r="39" spans="1:11">
      <c r="A39" s="9">
        <v>46051</v>
      </c>
      <c r="B39" s="10" t="str">
        <f>IF(A39="","",YEAR(A39)&amp;"/"&amp;RIGHT("0"&amp;MONTH(A39),2))</f>
        <v>2026/01</v>
      </c>
      <c r="C39" s="5" t="s">
        <v>180</v>
      </c>
      <c r="D39" s="11">
        <v>0.39583333333333331</v>
      </c>
      <c r="E39" s="11">
        <v>0.6875</v>
      </c>
      <c r="F39" s="12"/>
      <c r="G39" s="13">
        <f>IF(OR(D39="",E39=""),"",ROUND(MOD(E39-D39,1)*24-F39,2))</f>
        <v>7</v>
      </c>
      <c r="H39" s="12"/>
      <c r="I39" s="13">
        <f>IF(H39&lt;&gt;"",H39,G39)</f>
        <v>7</v>
      </c>
      <c r="J39" s="5"/>
      <c r="K39" s="6"/>
    </row>
    <row r="40" spans="1:11">
      <c r="A40" s="9">
        <v>46052</v>
      </c>
      <c r="B40" s="10" t="str">
        <f>IF(A40="","",YEAR(A40)&amp;"/"&amp;RIGHT("0"&amp;MONTH(A40),2))</f>
        <v>2026/01</v>
      </c>
      <c r="C40" s="5" t="s">
        <v>180</v>
      </c>
      <c r="D40" s="11">
        <v>0.39583333333333331</v>
      </c>
      <c r="E40" s="11">
        <v>0.6875</v>
      </c>
      <c r="F40" s="12"/>
      <c r="G40" s="13">
        <f>IF(OR(D40="",E40=""),"",ROUND(MOD(E40-D40,1)*24-F40,2))</f>
        <v>7</v>
      </c>
      <c r="H40" s="12"/>
      <c r="I40" s="13">
        <f>IF(H40&lt;&gt;"",H40,G40)</f>
        <v>7</v>
      </c>
      <c r="J40" s="5" t="s">
        <v>199</v>
      </c>
      <c r="K40" s="6">
        <v>1000</v>
      </c>
    </row>
    <row r="41" spans="1:11">
      <c r="A41" s="9">
        <v>46054</v>
      </c>
      <c r="B41" s="10" t="str">
        <f>IF(A41="","",YEAR(A41)&amp;"/"&amp;RIGHT("0"&amp;MONTH(A41),2))</f>
        <v>2026/02</v>
      </c>
      <c r="C41" s="5" t="s">
        <v>178</v>
      </c>
      <c r="D41" s="11">
        <v>0.53472222222222221</v>
      </c>
      <c r="E41" s="11">
        <v>0.86805555555555558</v>
      </c>
      <c r="F41" s="12">
        <v>0</v>
      </c>
      <c r="G41" s="13">
        <f>IF(OR(D41="",E41=""),"",ROUND(MOD(E41-D41,1)*24-F41,2))</f>
        <v>8</v>
      </c>
      <c r="H41" s="12"/>
      <c r="I41" s="13">
        <f>IF(H41&lt;&gt;"",H41,G41)</f>
        <v>8</v>
      </c>
      <c r="J41" s="5"/>
      <c r="K41" s="6">
        <v>0</v>
      </c>
    </row>
    <row r="42" spans="1:11">
      <c r="A42" s="9">
        <v>46055</v>
      </c>
      <c r="B42" s="10" t="str">
        <f>IF(A42="","",YEAR(A42)&amp;"/"&amp;RIGHT("0"&amp;MONTH(A42),2))</f>
        <v>2026/02</v>
      </c>
      <c r="C42" s="5" t="s">
        <v>178</v>
      </c>
      <c r="D42" s="11">
        <v>0.54166666666666663</v>
      </c>
      <c r="E42" s="11">
        <v>0.77083333333333337</v>
      </c>
      <c r="F42" s="12">
        <v>0</v>
      </c>
      <c r="G42" s="13">
        <f>IF(OR(D42="",E42=""),"",ROUND(MOD(E42-D42,1)*24-F42,2))</f>
        <v>5.5</v>
      </c>
      <c r="H42" s="12"/>
      <c r="I42" s="13">
        <f>IF(H42&lt;&gt;"",H42,G42)</f>
        <v>5.5</v>
      </c>
      <c r="J42" s="5"/>
      <c r="K42" s="6">
        <v>0</v>
      </c>
    </row>
    <row r="43" spans="1:11">
      <c r="A43" s="9">
        <v>46056</v>
      </c>
      <c r="B43" s="10" t="str">
        <f>IF(A43="","",YEAR(A43)&amp;"/"&amp;RIGHT("0"&amp;MONTH(A43),2))</f>
        <v>2026/02</v>
      </c>
      <c r="C43" s="5" t="s">
        <v>180</v>
      </c>
      <c r="D43" s="11">
        <v>0.41666666666666669</v>
      </c>
      <c r="E43" s="11">
        <v>0.79166666666666663</v>
      </c>
      <c r="F43" s="12">
        <v>0</v>
      </c>
      <c r="G43" s="13">
        <f>IF(OR(D43="",E43=""),"",ROUND(MOD(E43-D43,1)*24-F43,2))</f>
        <v>9</v>
      </c>
      <c r="H43" s="12"/>
      <c r="I43" s="13">
        <f>IF(H43&lt;&gt;"",H43,G43)</f>
        <v>9</v>
      </c>
      <c r="J43" s="5"/>
      <c r="K43" s="6">
        <v>0</v>
      </c>
    </row>
    <row r="44" spans="1:11">
      <c r="A44" s="9">
        <v>46057</v>
      </c>
      <c r="B44" s="10" t="str">
        <f>IF(A44="","",YEAR(A44)&amp;"/"&amp;RIGHT("0"&amp;MONTH(A44),2))</f>
        <v>2026/02</v>
      </c>
      <c r="C44" s="5" t="s">
        <v>105</v>
      </c>
      <c r="D44" s="11">
        <v>0.52083333333333337</v>
      </c>
      <c r="E44" s="11">
        <v>0.72916666666666663</v>
      </c>
      <c r="F44" s="12">
        <v>0</v>
      </c>
      <c r="G44" s="13">
        <f>IF(OR(D44="",E44=""),"",ROUND(MOD(E44-D44,1)*24-F44,2))</f>
        <v>5</v>
      </c>
      <c r="H44" s="12"/>
      <c r="I44" s="13">
        <f>IF(H44&lt;&gt;"",H44,G44)</f>
        <v>5</v>
      </c>
      <c r="J44" s="5"/>
      <c r="K44" s="6">
        <v>0</v>
      </c>
    </row>
    <row r="45" spans="1:11">
      <c r="A45" s="9">
        <v>46058</v>
      </c>
      <c r="B45" s="10" t="str">
        <f>IF(A45="","",YEAR(A45)&amp;"/"&amp;RIGHT("0"&amp;MONTH(A45),2))</f>
        <v>2026/02</v>
      </c>
      <c r="C45" s="5" t="s">
        <v>180</v>
      </c>
      <c r="D45" s="11">
        <v>0.39583333333333331</v>
      </c>
      <c r="E45" s="11">
        <v>0.8125</v>
      </c>
      <c r="F45" s="12">
        <v>0</v>
      </c>
      <c r="G45" s="13">
        <f>IF(OR(D45="",E45=""),"",ROUND(MOD(E45-D45,1)*24-F45,2))</f>
        <v>10</v>
      </c>
      <c r="H45" s="12"/>
      <c r="I45" s="13">
        <f>IF(H45&lt;&gt;"",H45,G45)</f>
        <v>10</v>
      </c>
      <c r="J45" s="5"/>
      <c r="K45" s="6">
        <v>0</v>
      </c>
    </row>
    <row r="46" spans="1:11">
      <c r="A46" s="9">
        <v>46059</v>
      </c>
      <c r="B46" s="10" t="str">
        <f>IF(A46="","",YEAR(A46)&amp;"/"&amp;RIGHT("0"&amp;MONTH(A46),2))</f>
        <v>2026/02</v>
      </c>
      <c r="C46" s="5" t="s">
        <v>178</v>
      </c>
      <c r="D46" s="11">
        <v>0.54166666666666663</v>
      </c>
      <c r="E46" s="11">
        <v>0.79166666666666663</v>
      </c>
      <c r="F46" s="12">
        <v>0</v>
      </c>
      <c r="G46" s="13">
        <f>IF(OR(D46="",E46=""),"",ROUND(MOD(E46-D46,1)*24-F46,2))</f>
        <v>6</v>
      </c>
      <c r="H46" s="12"/>
      <c r="I46" s="13">
        <f>IF(H46&lt;&gt;"",H46,G46)</f>
        <v>6</v>
      </c>
      <c r="J46" s="5"/>
      <c r="K46" s="6">
        <v>0</v>
      </c>
    </row>
    <row r="47" spans="1:11">
      <c r="A47" s="9">
        <v>46061</v>
      </c>
      <c r="B47" s="10" t="str">
        <f>IF(A47="","",YEAR(A47)&amp;"/"&amp;RIGHT("0"&amp;MONTH(A47),2))</f>
        <v>2026/02</v>
      </c>
      <c r="C47" s="5" t="s">
        <v>178</v>
      </c>
      <c r="D47" s="11">
        <v>0.40972222222222221</v>
      </c>
      <c r="E47" s="11">
        <v>0.77777777777777779</v>
      </c>
      <c r="F47" s="12">
        <v>0.33329999999999999</v>
      </c>
      <c r="G47" s="13">
        <f>IF(OR(D47="",E47=""),"",ROUND(MOD(E47-D47,1)*24-F47,2))</f>
        <v>8.5</v>
      </c>
      <c r="H47" s="12"/>
      <c r="I47" s="13">
        <f>IF(H47&lt;&gt;"",H47,G47)</f>
        <v>8.5</v>
      </c>
      <c r="J47" s="5"/>
      <c r="K47" s="6">
        <v>0</v>
      </c>
    </row>
    <row r="48" spans="1:11">
      <c r="A48" s="9">
        <v>46062</v>
      </c>
      <c r="B48" s="10" t="str">
        <f>IF(A48="","",YEAR(A48)&amp;"/"&amp;RIGHT("0"&amp;MONTH(A48),2))</f>
        <v>2026/02</v>
      </c>
      <c r="C48" s="5" t="s">
        <v>178</v>
      </c>
      <c r="D48" s="11">
        <v>0.64583333333333337</v>
      </c>
      <c r="E48" s="11">
        <v>0.85416666666666663</v>
      </c>
      <c r="F48" s="12">
        <v>0</v>
      </c>
      <c r="G48" s="13">
        <f>IF(OR(D48="",E48=""),"",ROUND(MOD(E48-D48,1)*24-F48,2))</f>
        <v>5</v>
      </c>
      <c r="H48" s="12"/>
      <c r="I48" s="13">
        <f>IF(H48&lt;&gt;"",H48,G48)</f>
        <v>5</v>
      </c>
      <c r="J48" s="5" t="s">
        <v>118</v>
      </c>
      <c r="K48" s="6">
        <v>48</v>
      </c>
    </row>
    <row r="49" spans="1:11">
      <c r="A49" s="9">
        <v>46063</v>
      </c>
      <c r="B49" s="10" t="str">
        <f>IF(A49="","",YEAR(A49)&amp;"/"&amp;RIGHT("0"&amp;MONTH(A49),2))</f>
        <v>2026/02</v>
      </c>
      <c r="C49" s="5" t="s">
        <v>178</v>
      </c>
      <c r="D49" s="11">
        <v>0.5625</v>
      </c>
      <c r="E49" s="11">
        <v>0.79166666666666663</v>
      </c>
      <c r="F49" s="12">
        <v>0</v>
      </c>
      <c r="G49" s="13">
        <f>IF(OR(D49="",E49=""),"",ROUND(MOD(E49-D49,1)*24-F49,2))</f>
        <v>5.5</v>
      </c>
      <c r="H49" s="12"/>
      <c r="I49" s="13">
        <f>IF(H49&lt;&gt;"",H49,G49)</f>
        <v>5.5</v>
      </c>
      <c r="J49" s="5"/>
      <c r="K49" s="6">
        <v>0</v>
      </c>
    </row>
    <row r="50" spans="1:11">
      <c r="A50" s="9">
        <v>46064</v>
      </c>
      <c r="B50" s="10" t="str">
        <f>IF(A50="","",YEAR(A50)&amp;"/"&amp;RIGHT("0"&amp;MONTH(A50),2))</f>
        <v>2026/02</v>
      </c>
      <c r="C50" s="5" t="s">
        <v>105</v>
      </c>
      <c r="D50" s="11">
        <v>0.54166666666666663</v>
      </c>
      <c r="E50" s="11">
        <v>0.72916666666666663</v>
      </c>
      <c r="F50" s="12">
        <v>0</v>
      </c>
      <c r="G50" s="13">
        <f>IF(OR(D50="",E50=""),"",ROUND(MOD(E50-D50,1)*24-F50,2))</f>
        <v>4.5</v>
      </c>
      <c r="H50" s="12"/>
      <c r="I50" s="13">
        <f>IF(H50&lt;&gt;"",H50,G50)</f>
        <v>4.5</v>
      </c>
      <c r="J50" s="5"/>
      <c r="K50" s="6">
        <v>0</v>
      </c>
    </row>
    <row r="51" spans="1:11">
      <c r="A51" s="9">
        <v>46066</v>
      </c>
      <c r="B51" s="10" t="str">
        <f>IF(A51="","",YEAR(A51)&amp;"/"&amp;RIGHT("0"&amp;MONTH(A51),2))</f>
        <v>2026/02</v>
      </c>
      <c r="C51" s="5" t="s">
        <v>180</v>
      </c>
      <c r="D51" s="11">
        <v>0.39583333333333331</v>
      </c>
      <c r="E51" s="11">
        <v>0.70833333333333337</v>
      </c>
      <c r="F51" s="12">
        <v>0</v>
      </c>
      <c r="G51" s="13">
        <f>IF(OR(D51="",E51=""),"",ROUND(MOD(E51-D51,1)*24-F51,2))</f>
        <v>7.5</v>
      </c>
      <c r="H51" s="12"/>
      <c r="I51" s="13">
        <f>IF(H51&lt;&gt;"",H51,G51)</f>
        <v>7.5</v>
      </c>
      <c r="J51" s="5" t="s">
        <v>119</v>
      </c>
      <c r="K51" s="6">
        <v>58</v>
      </c>
    </row>
    <row r="52" spans="1:11">
      <c r="A52" s="9">
        <v>46068</v>
      </c>
      <c r="B52" s="10" t="str">
        <f>IF(A52="","",YEAR(A52)&amp;"/"&amp;RIGHT("0"&amp;MONTH(A52),2))</f>
        <v>2026/02</v>
      </c>
      <c r="C52" s="5" t="s">
        <v>105</v>
      </c>
      <c r="D52" s="11">
        <v>0.58333333333333337</v>
      </c>
      <c r="E52" s="11">
        <v>0.77083333333333337</v>
      </c>
      <c r="F52" s="12">
        <v>0</v>
      </c>
      <c r="G52" s="13">
        <f>IF(OR(D52="",E52=""),"",ROUND(MOD(E52-D52,1)*24-F52,2))</f>
        <v>4.5</v>
      </c>
      <c r="H52" s="12"/>
      <c r="I52" s="13">
        <f>IF(H52&lt;&gt;"",H52,G52)</f>
        <v>4.5</v>
      </c>
      <c r="J52" s="5"/>
      <c r="K52" s="6">
        <v>0</v>
      </c>
    </row>
    <row r="53" spans="1:11">
      <c r="A53" s="9">
        <v>46073</v>
      </c>
      <c r="B53" s="10" t="str">
        <f>IF(A53="","",YEAR(A53)&amp;"/"&amp;RIGHT("0"&amp;MONTH(A53),2))</f>
        <v>2026/02</v>
      </c>
      <c r="C53" s="5" t="s">
        <v>178</v>
      </c>
      <c r="D53" s="11">
        <v>0.4861111111111111</v>
      </c>
      <c r="E53" s="11">
        <v>0.67361111111111116</v>
      </c>
      <c r="F53" s="12">
        <v>0</v>
      </c>
      <c r="G53" s="13">
        <f>IF(OR(D53="",E53=""),"",ROUND(MOD(E53-D53,1)*24-F53,2))</f>
        <v>4.5</v>
      </c>
      <c r="H53" s="12"/>
      <c r="I53" s="13">
        <f>IF(H53&lt;&gt;"",H53,G53)</f>
        <v>4.5</v>
      </c>
      <c r="J53" s="5"/>
      <c r="K53" s="6">
        <v>0</v>
      </c>
    </row>
    <row r="54" spans="1:11">
      <c r="A54" s="9">
        <v>46075</v>
      </c>
      <c r="B54" s="10" t="str">
        <f>IF(A54="","",YEAR(A54)&amp;"/"&amp;RIGHT("0"&amp;MONTH(A54),2))</f>
        <v>2026/02</v>
      </c>
      <c r="C54" s="5" t="s">
        <v>178</v>
      </c>
      <c r="D54" s="11">
        <v>0.47916666666666669</v>
      </c>
      <c r="E54" s="11">
        <v>0.8125</v>
      </c>
      <c r="F54" s="12">
        <v>0</v>
      </c>
      <c r="G54" s="13">
        <f>IF(OR(D54="",E54=""),"",ROUND(MOD(E54-D54,1)*24-F54,2))</f>
        <v>8</v>
      </c>
      <c r="H54" s="12"/>
      <c r="I54" s="13">
        <f>IF(H54&lt;&gt;"",H54,G54)</f>
        <v>8</v>
      </c>
      <c r="J54" s="5"/>
      <c r="K54" s="6">
        <v>0</v>
      </c>
    </row>
    <row r="55" spans="1:11">
      <c r="A55" s="9">
        <v>46076</v>
      </c>
      <c r="B55" s="10" t="str">
        <f>IF(A55="","",YEAR(A55)&amp;"/"&amp;RIGHT("0"&amp;MONTH(A55),2))</f>
        <v>2026/02</v>
      </c>
      <c r="C55" s="5" t="s">
        <v>180</v>
      </c>
      <c r="D55" s="11">
        <v>0.39583333333333331</v>
      </c>
      <c r="E55" s="11">
        <v>0.77083333333333337</v>
      </c>
      <c r="F55" s="12">
        <v>0</v>
      </c>
      <c r="G55" s="13">
        <f>IF(OR(D55="",E55=""),"",ROUND(MOD(E55-D55,1)*24-F55,2))</f>
        <v>9</v>
      </c>
      <c r="H55" s="12"/>
      <c r="I55" s="13">
        <f>IF(H55&lt;&gt;"",H55,G55)</f>
        <v>9</v>
      </c>
      <c r="J55" s="5"/>
      <c r="K55" s="6">
        <v>0</v>
      </c>
    </row>
    <row r="56" spans="1:11">
      <c r="A56" s="9">
        <v>46077</v>
      </c>
      <c r="B56" s="10" t="str">
        <f>IF(A56="","",YEAR(A56)&amp;"/"&amp;RIGHT("0"&amp;MONTH(A56),2))</f>
        <v>2026/02</v>
      </c>
      <c r="C56" s="5" t="s">
        <v>180</v>
      </c>
      <c r="D56" s="11">
        <v>0.41666666666666669</v>
      </c>
      <c r="E56" s="11">
        <v>0.72916666666666663</v>
      </c>
      <c r="F56" s="12">
        <v>0</v>
      </c>
      <c r="G56" s="13">
        <f>IF(OR(D56="",E56=""),"",ROUND(MOD(E56-D56,1)*24-F56,2))</f>
        <v>7.5</v>
      </c>
      <c r="H56" s="12"/>
      <c r="I56" s="13">
        <f>IF(H56&lt;&gt;"",H56,G56)</f>
        <v>7.5</v>
      </c>
      <c r="J56" s="5" t="s">
        <v>120</v>
      </c>
      <c r="K56" s="6">
        <v>420</v>
      </c>
    </row>
    <row r="57" spans="1:11">
      <c r="A57" s="9">
        <v>46078</v>
      </c>
      <c r="B57" s="10" t="str">
        <f>IF(A57="","",YEAR(A57)&amp;"/"&amp;RIGHT("0"&amp;MONTH(A57),2))</f>
        <v>2026/02</v>
      </c>
      <c r="C57" s="5" t="s">
        <v>105</v>
      </c>
      <c r="D57" s="11">
        <v>0.54166666666666663</v>
      </c>
      <c r="E57" s="11">
        <v>0.75</v>
      </c>
      <c r="F57" s="12">
        <v>0</v>
      </c>
      <c r="G57" s="13">
        <f>IF(OR(D57="",E57=""),"",ROUND(MOD(E57-D57,1)*24-F57,2))</f>
        <v>5</v>
      </c>
      <c r="H57" s="12"/>
      <c r="I57" s="13">
        <f>IF(H57&lt;&gt;"",H57,G57)</f>
        <v>5</v>
      </c>
      <c r="J57" s="5"/>
      <c r="K57" s="6">
        <v>0</v>
      </c>
    </row>
    <row r="58" spans="1:11">
      <c r="A58" s="9">
        <v>46079</v>
      </c>
      <c r="B58" s="10" t="str">
        <f>IF(A58="","",YEAR(A58)&amp;"/"&amp;RIGHT("0"&amp;MONTH(A58),2))</f>
        <v>2026/02</v>
      </c>
      <c r="C58" s="5" t="s">
        <v>180</v>
      </c>
      <c r="D58" s="11">
        <v>0.41666666666666669</v>
      </c>
      <c r="E58" s="11">
        <v>0.6875</v>
      </c>
      <c r="F58" s="12">
        <v>0</v>
      </c>
      <c r="G58" s="13">
        <f>IF(OR(D58="",E58=""),"",ROUND(MOD(E58-D58,1)*24-F58,2))</f>
        <v>6.5</v>
      </c>
      <c r="H58" s="12"/>
      <c r="I58" s="13">
        <f>IF(H58&lt;&gt;"",H58,G58)</f>
        <v>6.5</v>
      </c>
      <c r="J58" s="5"/>
      <c r="K58" s="6">
        <v>0</v>
      </c>
    </row>
    <row r="59" spans="1:11">
      <c r="A59" s="9">
        <v>46080</v>
      </c>
      <c r="B59" s="10" t="str">
        <f>IF(A59="","",YEAR(A59)&amp;"/"&amp;RIGHT("0"&amp;MONTH(A59),2))</f>
        <v>2026/02</v>
      </c>
      <c r="C59" s="5" t="s">
        <v>180</v>
      </c>
      <c r="D59" s="11">
        <v>0.39583333333333331</v>
      </c>
      <c r="E59" s="11">
        <v>0.66666666666666663</v>
      </c>
      <c r="F59" s="12">
        <v>0</v>
      </c>
      <c r="G59" s="13">
        <f>IF(OR(D59="",E59=""),"",ROUND(MOD(E59-D59,1)*24-F59,2))</f>
        <v>6.5</v>
      </c>
      <c r="H59" s="12"/>
      <c r="I59" s="13">
        <f>IF(H59&lt;&gt;"",H59,G59)</f>
        <v>6.5</v>
      </c>
      <c r="J59" s="5"/>
      <c r="K59" s="6">
        <v>0</v>
      </c>
    </row>
    <row r="60" spans="1:11">
      <c r="A60" s="9">
        <v>46081</v>
      </c>
      <c r="B60" s="10" t="str">
        <f>IF(A60="","",YEAR(A60)&amp;"/"&amp;RIGHT("0"&amp;MONTH(A60),2))</f>
        <v>2026/02</v>
      </c>
      <c r="C60" s="5" t="s">
        <v>105</v>
      </c>
      <c r="D60" s="11">
        <v>0.64583333333333337</v>
      </c>
      <c r="E60" s="11">
        <v>0.79166666666666663</v>
      </c>
      <c r="F60" s="12">
        <v>0</v>
      </c>
      <c r="G60" s="13">
        <f>IF(OR(D60="",E60=""),"",ROUND(MOD(E60-D60,1)*24-F60,2))</f>
        <v>3.5</v>
      </c>
      <c r="H60" s="12"/>
      <c r="I60" s="13">
        <f>IF(H60&lt;&gt;"",H60,G60)</f>
        <v>3.5</v>
      </c>
      <c r="J60" s="5"/>
      <c r="K60" s="6">
        <v>0</v>
      </c>
    </row>
    <row r="61" spans="1:11">
      <c r="A61" s="9"/>
      <c r="B61" s="10" t="str">
        <f>IF(A61="","",YEAR(A61)&amp;"/"&amp;RIGHT("0"&amp;MONTH(A61),2))</f>
        <v/>
      </c>
      <c r="C61" s="5"/>
      <c r="D61" s="11"/>
      <c r="E61" s="11"/>
      <c r="F61" s="12"/>
      <c r="G61" s="13" t="str">
        <f>IF(OR(D61="",E61=""),"",ROUND(MOD(E61-D61,1)*24-F61,2))</f>
        <v/>
      </c>
      <c r="H61" s="12"/>
      <c r="I61" s="13" t="str">
        <f>IF(H61&lt;&gt;"",H61,G61)</f>
        <v/>
      </c>
      <c r="J61" s="5"/>
      <c r="K61" s="6"/>
    </row>
    <row r="62" spans="1:11">
      <c r="A62" s="9"/>
      <c r="B62" s="10" t="str">
        <f>IF(A62="","",YEAR(A62)&amp;"/"&amp;RIGHT("0"&amp;MONTH(A62),2))</f>
        <v/>
      </c>
      <c r="C62" s="5"/>
      <c r="D62" s="11"/>
      <c r="E62" s="11"/>
      <c r="F62" s="12"/>
      <c r="G62" s="13" t="str">
        <f>IF(OR(D62="",E62=""),"",ROUND(MOD(E62-D62,1)*24-F62,2))</f>
        <v/>
      </c>
      <c r="H62" s="12"/>
      <c r="I62" s="13" t="str">
        <f>IF(H62&lt;&gt;"",H62,G62)</f>
        <v/>
      </c>
      <c r="J62" s="5"/>
      <c r="K62" s="6"/>
    </row>
    <row r="63" spans="1:11">
      <c r="A63" s="9"/>
      <c r="B63" s="10" t="str">
        <f>IF(A63="","",YEAR(A63)&amp;"/"&amp;RIGHT("0"&amp;MONTH(A63),2))</f>
        <v/>
      </c>
      <c r="C63" s="5"/>
      <c r="D63" s="11"/>
      <c r="E63" s="11"/>
      <c r="F63" s="12"/>
      <c r="G63" s="13" t="str">
        <f>IF(OR(D63="",E63=""),"",ROUND(MOD(E63-D63,1)*24-F63,2))</f>
        <v/>
      </c>
      <c r="H63" s="12"/>
      <c r="I63" s="13" t="str">
        <f>IF(H63&lt;&gt;"",H63,G63)</f>
        <v/>
      </c>
      <c r="J63" s="5"/>
      <c r="K63" s="6"/>
    </row>
    <row r="64" spans="1:11">
      <c r="A64" s="9"/>
      <c r="B64" s="10" t="str">
        <f>IF(A64="","",YEAR(A64)&amp;"/"&amp;RIGHT("0"&amp;MONTH(A64),2))</f>
        <v/>
      </c>
      <c r="C64" s="5"/>
      <c r="D64" s="11"/>
      <c r="E64" s="11"/>
      <c r="F64" s="12"/>
      <c r="G64" s="13" t="str">
        <f>IF(OR(D64="",E64=""),"",ROUND(MOD(E64-D64,1)*24-F64,2))</f>
        <v/>
      </c>
      <c r="H64" s="12"/>
      <c r="I64" s="13" t="str">
        <f>IF(H64&lt;&gt;"",H64,G64)</f>
        <v/>
      </c>
      <c r="J64" s="5"/>
      <c r="K64" s="6"/>
    </row>
    <row r="65" spans="1:11">
      <c r="A65" s="9"/>
      <c r="B65" s="10" t="str">
        <f>IF(A65="","",YEAR(A65)&amp;"/"&amp;RIGHT("0"&amp;MONTH(A65),2))</f>
        <v/>
      </c>
      <c r="C65" s="5"/>
      <c r="D65" s="11"/>
      <c r="E65" s="11"/>
      <c r="F65" s="12"/>
      <c r="G65" s="13" t="str">
        <f>IF(OR(D65="",E65=""),"",ROUND(MOD(E65-D65,1)*24-F65,2))</f>
        <v/>
      </c>
      <c r="H65" s="12"/>
      <c r="I65" s="13" t="str">
        <f>IF(H65&lt;&gt;"",H65,G65)</f>
        <v/>
      </c>
      <c r="J65" s="5"/>
      <c r="K65" s="6"/>
    </row>
    <row r="66" spans="1:11">
      <c r="A66" s="9"/>
      <c r="B66" s="10" t="str">
        <f>IF(A66="","",YEAR(A66)&amp;"/"&amp;RIGHT("0"&amp;MONTH(A66),2))</f>
        <v/>
      </c>
      <c r="C66" s="5"/>
      <c r="D66" s="11"/>
      <c r="E66" s="11"/>
      <c r="F66" s="12"/>
      <c r="G66" s="13" t="str">
        <f>IF(OR(D66="",E66=""),"",ROUND(MOD(E66-D66,1)*24-F66,2))</f>
        <v/>
      </c>
      <c r="H66" s="12"/>
      <c r="I66" s="13" t="str">
        <f>IF(H66&lt;&gt;"",H66,G66)</f>
        <v/>
      </c>
      <c r="J66" s="5"/>
      <c r="K66" s="6"/>
    </row>
    <row r="67" spans="1:11">
      <c r="A67" s="9"/>
      <c r="B67" s="10" t="str">
        <f>IF(A67="","",YEAR(A67)&amp;"/"&amp;RIGHT("0"&amp;MONTH(A67),2))</f>
        <v/>
      </c>
      <c r="C67" s="5"/>
      <c r="D67" s="11"/>
      <c r="E67" s="11"/>
      <c r="F67" s="12"/>
      <c r="G67" s="13" t="str">
        <f>IF(OR(D67="",E67=""),"",ROUND(MOD(E67-D67,1)*24-F67,2))</f>
        <v/>
      </c>
      <c r="H67" s="12"/>
      <c r="I67" s="13" t="str">
        <f>IF(H67&lt;&gt;"",H67,G67)</f>
        <v/>
      </c>
      <c r="J67" s="5"/>
      <c r="K67" s="6"/>
    </row>
    <row r="68" spans="1:11">
      <c r="A68" s="9"/>
      <c r="B68" s="10" t="str">
        <f>IF(A68="","",YEAR(A68)&amp;"/"&amp;RIGHT("0"&amp;MONTH(A68),2))</f>
        <v/>
      </c>
      <c r="C68" s="5"/>
      <c r="D68" s="11"/>
      <c r="E68" s="11"/>
      <c r="F68" s="12"/>
      <c r="G68" s="13" t="str">
        <f>IF(OR(D68="",E68=""),"",ROUND(MOD(E68-D68,1)*24-F68,2))</f>
        <v/>
      </c>
      <c r="H68" s="12"/>
      <c r="I68" s="13" t="str">
        <f>IF(H68&lt;&gt;"",H68,G68)</f>
        <v/>
      </c>
      <c r="J68" s="5"/>
      <c r="K68" s="6"/>
    </row>
    <row r="69" spans="1:11">
      <c r="A69" s="9"/>
      <c r="B69" s="10" t="str">
        <f>IF(A69="","",YEAR(A69)&amp;"/"&amp;RIGHT("0"&amp;MONTH(A69),2))</f>
        <v/>
      </c>
      <c r="C69" s="5"/>
      <c r="D69" s="11"/>
      <c r="E69" s="11"/>
      <c r="F69" s="12"/>
      <c r="G69" s="13" t="str">
        <f>IF(OR(D69="",E69=""),"",ROUND(MOD(E69-D69,1)*24-F69,2))</f>
        <v/>
      </c>
      <c r="H69" s="12"/>
      <c r="I69" s="13" t="str">
        <f>IF(H69&lt;&gt;"",H69,G69)</f>
        <v/>
      </c>
      <c r="J69" s="5"/>
      <c r="K69" s="6"/>
    </row>
    <row r="70" spans="1:11">
      <c r="A70" s="9"/>
      <c r="B70" s="10" t="str">
        <f>IF(A70="","",YEAR(A70)&amp;"/"&amp;RIGHT("0"&amp;MONTH(A70),2))</f>
        <v/>
      </c>
      <c r="C70" s="5"/>
      <c r="D70" s="11"/>
      <c r="E70" s="11"/>
      <c r="F70" s="12"/>
      <c r="G70" s="13" t="str">
        <f>IF(OR(D70="",E70=""),"",ROUND(MOD(E70-D70,1)*24-F70,2))</f>
        <v/>
      </c>
      <c r="H70" s="12"/>
      <c r="I70" s="13" t="str">
        <f>IF(H70&lt;&gt;"",H70,G70)</f>
        <v/>
      </c>
      <c r="J70" s="5"/>
      <c r="K70" s="6"/>
    </row>
    <row r="71" spans="1:11">
      <c r="A71" s="9"/>
      <c r="B71" s="10" t="str">
        <f>IF(A71="","",YEAR(A71)&amp;"/"&amp;RIGHT("0"&amp;MONTH(A71),2))</f>
        <v/>
      </c>
      <c r="C71" s="5"/>
      <c r="D71" s="11"/>
      <c r="E71" s="11"/>
      <c r="F71" s="12"/>
      <c r="G71" s="13" t="str">
        <f>IF(OR(D71="",E71=""),"",ROUND(MOD(E71-D71,1)*24-F71,2))</f>
        <v/>
      </c>
      <c r="H71" s="12"/>
      <c r="I71" s="13" t="str">
        <f>IF(H71&lt;&gt;"",H71,G71)</f>
        <v/>
      </c>
      <c r="J71" s="5"/>
      <c r="K71" s="6"/>
    </row>
    <row r="72" spans="1:11">
      <c r="A72" s="9"/>
      <c r="B72" s="10" t="str">
        <f>IF(A72="","",YEAR(A72)&amp;"/"&amp;RIGHT("0"&amp;MONTH(A72),2))</f>
        <v/>
      </c>
      <c r="C72" s="5"/>
      <c r="D72" s="11"/>
      <c r="E72" s="11"/>
      <c r="F72" s="12"/>
      <c r="G72" s="13" t="str">
        <f>IF(OR(D72="",E72=""),"",ROUND(MOD(E72-D72,1)*24-F72,2))</f>
        <v/>
      </c>
      <c r="H72" s="12"/>
      <c r="I72" s="13" t="str">
        <f>IF(H72&lt;&gt;"",H72,G72)</f>
        <v/>
      </c>
      <c r="J72" s="5"/>
      <c r="K72" s="6"/>
    </row>
    <row r="73" spans="1:11">
      <c r="A73" s="9"/>
      <c r="B73" s="10" t="str">
        <f>IF(A73="","",YEAR(A73)&amp;"/"&amp;RIGHT("0"&amp;MONTH(A73),2))</f>
        <v/>
      </c>
      <c r="C73" s="5"/>
      <c r="D73" s="11"/>
      <c r="E73" s="11"/>
      <c r="F73" s="12"/>
      <c r="G73" s="13" t="str">
        <f>IF(OR(D73="",E73=""),"",ROUND(MOD(E73-D73,1)*24-F73,2))</f>
        <v/>
      </c>
      <c r="H73" s="12"/>
      <c r="I73" s="13" t="str">
        <f>IF(H73&lt;&gt;"",H73,G73)</f>
        <v/>
      </c>
      <c r="J73" s="5"/>
      <c r="K73" s="6"/>
    </row>
    <row r="74" spans="1:11">
      <c r="A74" s="9"/>
      <c r="B74" s="10" t="str">
        <f>IF(A74="","",YEAR(A74)&amp;"/"&amp;RIGHT("0"&amp;MONTH(A74),2))</f>
        <v/>
      </c>
      <c r="C74" s="5"/>
      <c r="D74" s="11"/>
      <c r="E74" s="11"/>
      <c r="F74" s="12"/>
      <c r="G74" s="13" t="str">
        <f>IF(OR(D74="",E74=""),"",ROUND(MOD(E74-D74,1)*24-F74,2))</f>
        <v/>
      </c>
      <c r="H74" s="12"/>
      <c r="I74" s="13" t="str">
        <f>IF(H74&lt;&gt;"",H74,G74)</f>
        <v/>
      </c>
      <c r="J74" s="5"/>
      <c r="K74" s="6"/>
    </row>
    <row r="75" spans="1:11">
      <c r="A75" s="9"/>
      <c r="B75" s="10" t="str">
        <f>IF(A75="","",YEAR(A75)&amp;"/"&amp;RIGHT("0"&amp;MONTH(A75),2))</f>
        <v/>
      </c>
      <c r="C75" s="5"/>
      <c r="D75" s="11"/>
      <c r="E75" s="11"/>
      <c r="F75" s="12"/>
      <c r="G75" s="13" t="str">
        <f>IF(OR(D75="",E75=""),"",ROUND(MOD(E75-D75,1)*24-F75,2))</f>
        <v/>
      </c>
      <c r="H75" s="12"/>
      <c r="I75" s="13" t="str">
        <f>IF(H75&lt;&gt;"",H75,G75)</f>
        <v/>
      </c>
      <c r="J75" s="5"/>
      <c r="K75" s="6"/>
    </row>
    <row r="76" spans="1:11">
      <c r="A76" s="9"/>
      <c r="B76" s="10" t="str">
        <f>IF(A76="","",YEAR(A76)&amp;"/"&amp;RIGHT("0"&amp;MONTH(A76),2))</f>
        <v/>
      </c>
      <c r="C76" s="5"/>
      <c r="D76" s="11"/>
      <c r="E76" s="11"/>
      <c r="F76" s="12"/>
      <c r="G76" s="13" t="str">
        <f>IF(OR(D76="",E76=""),"",ROUND(MOD(E76-D76,1)*24-F76,2))</f>
        <v/>
      </c>
      <c r="H76" s="12"/>
      <c r="I76" s="13" t="str">
        <f>IF(H76&lt;&gt;"",H76,G76)</f>
        <v/>
      </c>
      <c r="J76" s="5"/>
      <c r="K76" s="6"/>
    </row>
    <row r="77" spans="1:11">
      <c r="A77" s="9"/>
      <c r="B77" s="10" t="str">
        <f>IF(A77="","",YEAR(A77)&amp;"/"&amp;RIGHT("0"&amp;MONTH(A77),2))</f>
        <v/>
      </c>
      <c r="C77" s="5"/>
      <c r="D77" s="11"/>
      <c r="E77" s="11"/>
      <c r="F77" s="12"/>
      <c r="G77" s="13" t="str">
        <f>IF(OR(D77="",E77=""),"",ROUND(MOD(E77-D77,1)*24-F77,2))</f>
        <v/>
      </c>
      <c r="H77" s="12"/>
      <c r="I77" s="13" t="str">
        <f>IF(H77&lt;&gt;"",H77,G77)</f>
        <v/>
      </c>
      <c r="J77" s="5"/>
      <c r="K77" s="6"/>
    </row>
    <row r="78" spans="1:11">
      <c r="A78" s="9"/>
      <c r="B78" s="10" t="str">
        <f>IF(A78="","",YEAR(A78)&amp;"/"&amp;RIGHT("0"&amp;MONTH(A78),2))</f>
        <v/>
      </c>
      <c r="C78" s="5"/>
      <c r="D78" s="11"/>
      <c r="E78" s="11"/>
      <c r="F78" s="12"/>
      <c r="G78" s="13" t="str">
        <f>IF(OR(D78="",E78=""),"",ROUND(MOD(E78-D78,1)*24-F78,2))</f>
        <v/>
      </c>
      <c r="H78" s="12"/>
      <c r="I78" s="13" t="str">
        <f>IF(H78&lt;&gt;"",H78,G78)</f>
        <v/>
      </c>
      <c r="J78" s="5"/>
      <c r="K78" s="6"/>
    </row>
    <row r="79" spans="1:11">
      <c r="A79" s="9"/>
      <c r="B79" s="10" t="str">
        <f>IF(A79="","",YEAR(A79)&amp;"/"&amp;RIGHT("0"&amp;MONTH(A79),2))</f>
        <v/>
      </c>
      <c r="C79" s="5"/>
      <c r="D79" s="11"/>
      <c r="E79" s="11"/>
      <c r="F79" s="12"/>
      <c r="G79" s="13" t="str">
        <f>IF(OR(D79="",E79=""),"",ROUND(MOD(E79-D79,1)*24-F79,2))</f>
        <v/>
      </c>
      <c r="H79" s="12"/>
      <c r="I79" s="13" t="str">
        <f>IF(H79&lt;&gt;"",H79,G79)</f>
        <v/>
      </c>
      <c r="J79" s="5"/>
      <c r="K79" s="6"/>
    </row>
    <row r="80" spans="1:11">
      <c r="A80" s="9"/>
      <c r="B80" s="10" t="str">
        <f>IF(A80="","",YEAR(A80)&amp;"/"&amp;RIGHT("0"&amp;MONTH(A80),2))</f>
        <v/>
      </c>
      <c r="C80" s="5"/>
      <c r="D80" s="11"/>
      <c r="E80" s="11"/>
      <c r="F80" s="12"/>
      <c r="G80" s="13" t="str">
        <f>IF(OR(D80="",E80=""),"",ROUND(MOD(E80-D80,1)*24-F80,2))</f>
        <v/>
      </c>
      <c r="H80" s="12"/>
      <c r="I80" s="13" t="str">
        <f>IF(H80&lt;&gt;"",H80,G80)</f>
        <v/>
      </c>
      <c r="J80" s="5"/>
      <c r="K80" s="6"/>
    </row>
    <row r="81" spans="1:11">
      <c r="A81" s="9"/>
      <c r="B81" s="10" t="str">
        <f>IF(A81="","",YEAR(A81)&amp;"/"&amp;RIGHT("0"&amp;MONTH(A81),2))</f>
        <v/>
      </c>
      <c r="C81" s="5"/>
      <c r="D81" s="11"/>
      <c r="E81" s="11"/>
      <c r="F81" s="12"/>
      <c r="G81" s="13" t="str">
        <f>IF(OR(D81="",E81=""),"",ROUND(MOD(E81-D81,1)*24-F81,2))</f>
        <v/>
      </c>
      <c r="H81" s="12"/>
      <c r="I81" s="13" t="str">
        <f>IF(H81&lt;&gt;"",H81,G81)</f>
        <v/>
      </c>
      <c r="J81" s="5"/>
      <c r="K81" s="6"/>
    </row>
    <row r="82" spans="1:11">
      <c r="A82" s="9"/>
      <c r="B82" s="10" t="str">
        <f>IF(A82="","",YEAR(A82)&amp;"/"&amp;RIGHT("0"&amp;MONTH(A82),2))</f>
        <v/>
      </c>
      <c r="C82" s="5"/>
      <c r="D82" s="11"/>
      <c r="E82" s="11"/>
      <c r="F82" s="12"/>
      <c r="G82" s="13" t="str">
        <f>IF(OR(D82="",E82=""),"",ROUND(MOD(E82-D82,1)*24-F82,2))</f>
        <v/>
      </c>
      <c r="H82" s="12"/>
      <c r="I82" s="13" t="str">
        <f>IF(H82&lt;&gt;"",H82,G82)</f>
        <v/>
      </c>
      <c r="J82" s="5"/>
      <c r="K82" s="6"/>
    </row>
    <row r="83" spans="1:11">
      <c r="A83" s="9"/>
      <c r="B83" s="10" t="str">
        <f>IF(A83="","",YEAR(A83)&amp;"/"&amp;RIGHT("0"&amp;MONTH(A83),2))</f>
        <v/>
      </c>
      <c r="C83" s="5"/>
      <c r="D83" s="11"/>
      <c r="E83" s="11"/>
      <c r="F83" s="12"/>
      <c r="G83" s="13" t="str">
        <f>IF(OR(D83="",E83=""),"",ROUND(MOD(E83-D83,1)*24-F83,2))</f>
        <v/>
      </c>
      <c r="H83" s="12"/>
      <c r="I83" s="13" t="str">
        <f>IF(H83&lt;&gt;"",H83,G83)</f>
        <v/>
      </c>
      <c r="J83" s="5"/>
      <c r="K83" s="6"/>
    </row>
    <row r="84" spans="1:11">
      <c r="A84" s="9"/>
      <c r="B84" s="10" t="str">
        <f>IF(A84="","",YEAR(A84)&amp;"/"&amp;RIGHT("0"&amp;MONTH(A84),2))</f>
        <v/>
      </c>
      <c r="C84" s="5"/>
      <c r="D84" s="11"/>
      <c r="E84" s="11"/>
      <c r="F84" s="12"/>
      <c r="G84" s="13" t="str">
        <f>IF(OR(D84="",E84=""),"",ROUND(MOD(E84-D84,1)*24-F84,2))</f>
        <v/>
      </c>
      <c r="H84" s="12"/>
      <c r="I84" s="13" t="str">
        <f>IF(H84&lt;&gt;"",H84,G84)</f>
        <v/>
      </c>
      <c r="J84" s="5"/>
      <c r="K84" s="6"/>
    </row>
    <row r="85" spans="1:11">
      <c r="A85" s="9"/>
      <c r="B85" s="10" t="str">
        <f>IF(A85="","",YEAR(A85)&amp;"/"&amp;RIGHT("0"&amp;MONTH(A85),2))</f>
        <v/>
      </c>
      <c r="C85" s="5"/>
      <c r="D85" s="11"/>
      <c r="E85" s="11"/>
      <c r="F85" s="12"/>
      <c r="G85" s="13" t="str">
        <f>IF(OR(D85="",E85=""),"",ROUND(MOD(E85-D85,1)*24-F85,2))</f>
        <v/>
      </c>
      <c r="H85" s="12"/>
      <c r="I85" s="13" t="str">
        <f>IF(H85&lt;&gt;"",H85,G85)</f>
        <v/>
      </c>
      <c r="J85" s="5"/>
      <c r="K85" s="6"/>
    </row>
    <row r="86" spans="1:11">
      <c r="A86" s="9"/>
      <c r="B86" s="10" t="str">
        <f>IF(A86="","",YEAR(A86)&amp;"/"&amp;RIGHT("0"&amp;MONTH(A86),2))</f>
        <v/>
      </c>
      <c r="C86" s="5"/>
      <c r="D86" s="11"/>
      <c r="E86" s="11"/>
      <c r="F86" s="12"/>
      <c r="G86" s="13" t="str">
        <f>IF(OR(D86="",E86=""),"",ROUND(MOD(E86-D86,1)*24-F86,2))</f>
        <v/>
      </c>
      <c r="H86" s="12"/>
      <c r="I86" s="13" t="str">
        <f>IF(H86&lt;&gt;"",H86,G86)</f>
        <v/>
      </c>
      <c r="J86" s="5"/>
      <c r="K86" s="6"/>
    </row>
    <row r="87" spans="1:11">
      <c r="A87" s="9"/>
      <c r="B87" s="10" t="str">
        <f>IF(A87="","",YEAR(A87)&amp;"/"&amp;RIGHT("0"&amp;MONTH(A87),2))</f>
        <v/>
      </c>
      <c r="C87" s="5"/>
      <c r="D87" s="11"/>
      <c r="E87" s="11"/>
      <c r="F87" s="12"/>
      <c r="G87" s="13" t="str">
        <f>IF(OR(D87="",E87=""),"",ROUND(MOD(E87-D87,1)*24-F87,2))</f>
        <v/>
      </c>
      <c r="H87" s="12"/>
      <c r="I87" s="13" t="str">
        <f>IF(H87&lt;&gt;"",H87,G87)</f>
        <v/>
      </c>
      <c r="J87" s="5"/>
      <c r="K87" s="6"/>
    </row>
    <row r="88" spans="1:11">
      <c r="A88" s="9"/>
      <c r="B88" s="10" t="str">
        <f>IF(A88="","",YEAR(A88)&amp;"/"&amp;RIGHT("0"&amp;MONTH(A88),2))</f>
        <v/>
      </c>
      <c r="C88" s="5"/>
      <c r="D88" s="11"/>
      <c r="E88" s="11"/>
      <c r="F88" s="12"/>
      <c r="G88" s="13" t="str">
        <f>IF(OR(D88="",E88=""),"",ROUND(MOD(E88-D88,1)*24-F88,2))</f>
        <v/>
      </c>
      <c r="H88" s="12"/>
      <c r="I88" s="13" t="str">
        <f>IF(H88&lt;&gt;"",H88,G88)</f>
        <v/>
      </c>
      <c r="J88" s="5"/>
      <c r="K88" s="6"/>
    </row>
    <row r="89" spans="1:11">
      <c r="A89" s="9"/>
      <c r="B89" s="10" t="str">
        <f>IF(A89="","",YEAR(A89)&amp;"/"&amp;RIGHT("0"&amp;MONTH(A89),2))</f>
        <v/>
      </c>
      <c r="C89" s="5"/>
      <c r="D89" s="11"/>
      <c r="E89" s="11"/>
      <c r="F89" s="12"/>
      <c r="G89" s="13" t="str">
        <f>IF(OR(D89="",E89=""),"",ROUND(MOD(E89-D89,1)*24-F89,2))</f>
        <v/>
      </c>
      <c r="H89" s="12"/>
      <c r="I89" s="13" t="str">
        <f>IF(H89&lt;&gt;"",H89,G89)</f>
        <v/>
      </c>
      <c r="J89" s="5"/>
      <c r="K89" s="6"/>
    </row>
    <row r="90" spans="1:11">
      <c r="A90" s="9"/>
      <c r="B90" s="10" t="str">
        <f>IF(A90="","",YEAR(A90)&amp;"/"&amp;RIGHT("0"&amp;MONTH(A90),2))</f>
        <v/>
      </c>
      <c r="C90" s="5"/>
      <c r="D90" s="11"/>
      <c r="E90" s="11"/>
      <c r="F90" s="12"/>
      <c r="G90" s="13" t="str">
        <f>IF(OR(D90="",E90=""),"",ROUND(MOD(E90-D90,1)*24-F90,2))</f>
        <v/>
      </c>
      <c r="H90" s="12"/>
      <c r="I90" s="13" t="str">
        <f>IF(H90&lt;&gt;"",H90,G90)</f>
        <v/>
      </c>
      <c r="J90" s="5"/>
      <c r="K90" s="6"/>
    </row>
    <row r="91" spans="1:11">
      <c r="A91" s="9"/>
      <c r="B91" s="10" t="str">
        <f>IF(A91="","",YEAR(A91)&amp;"/"&amp;RIGHT("0"&amp;MONTH(A91),2))</f>
        <v/>
      </c>
      <c r="C91" s="5"/>
      <c r="D91" s="11"/>
      <c r="E91" s="11"/>
      <c r="F91" s="12"/>
      <c r="G91" s="13" t="str">
        <f>IF(OR(D91="",E91=""),"",ROUND(MOD(E91-D91,1)*24-F91,2))</f>
        <v/>
      </c>
      <c r="H91" s="12"/>
      <c r="I91" s="13" t="str">
        <f>IF(H91&lt;&gt;"",H91,G91)</f>
        <v/>
      </c>
      <c r="J91" s="5"/>
      <c r="K91" s="6"/>
    </row>
    <row r="92" spans="1:11">
      <c r="A92" s="9"/>
      <c r="B92" s="10" t="str">
        <f>IF(A92="","",YEAR(A92)&amp;"/"&amp;RIGHT("0"&amp;MONTH(A92),2))</f>
        <v/>
      </c>
      <c r="C92" s="5"/>
      <c r="D92" s="11"/>
      <c r="E92" s="11"/>
      <c r="F92" s="12"/>
      <c r="G92" s="13" t="str">
        <f>IF(OR(D92="",E92=""),"",ROUND(MOD(E92-D92,1)*24-F92,2))</f>
        <v/>
      </c>
      <c r="H92" s="12"/>
      <c r="I92" s="13" t="str">
        <f>IF(H92&lt;&gt;"",H92,G92)</f>
        <v/>
      </c>
      <c r="J92" s="5"/>
      <c r="K92" s="6"/>
    </row>
    <row r="93" spans="1:11">
      <c r="A93" s="9"/>
      <c r="B93" s="10" t="str">
        <f>IF(A93="","",YEAR(A93)&amp;"/"&amp;RIGHT("0"&amp;MONTH(A93),2))</f>
        <v/>
      </c>
      <c r="C93" s="5"/>
      <c r="D93" s="11"/>
      <c r="E93" s="11"/>
      <c r="F93" s="12"/>
      <c r="G93" s="13" t="str">
        <f>IF(OR(D93="",E93=""),"",ROUND(MOD(E93-D93,1)*24-F93,2))</f>
        <v/>
      </c>
      <c r="H93" s="12"/>
      <c r="I93" s="13" t="str">
        <f>IF(H93&lt;&gt;"",H93,G93)</f>
        <v/>
      </c>
      <c r="J93" s="5"/>
      <c r="K93" s="6"/>
    </row>
    <row r="94" spans="1:11">
      <c r="A94" s="9"/>
      <c r="B94" s="10" t="str">
        <f>IF(A94="","",YEAR(A94)&amp;"/"&amp;RIGHT("0"&amp;MONTH(A94),2))</f>
        <v/>
      </c>
      <c r="C94" s="5"/>
      <c r="D94" s="11"/>
      <c r="E94" s="11"/>
      <c r="F94" s="12"/>
      <c r="G94" s="13" t="str">
        <f>IF(OR(D94="",E94=""),"",ROUND(MOD(E94-D94,1)*24-F94,2))</f>
        <v/>
      </c>
      <c r="H94" s="12"/>
      <c r="I94" s="13" t="str">
        <f>IF(H94&lt;&gt;"",H94,G94)</f>
        <v/>
      </c>
      <c r="J94" s="5"/>
      <c r="K94" s="6"/>
    </row>
    <row r="95" spans="1:11">
      <c r="A95" s="9"/>
      <c r="B95" s="10" t="str">
        <f>IF(A95="","",YEAR(A95)&amp;"/"&amp;RIGHT("0"&amp;MONTH(A95),2))</f>
        <v/>
      </c>
      <c r="C95" s="5"/>
      <c r="D95" s="11"/>
      <c r="E95" s="11"/>
      <c r="F95" s="12"/>
      <c r="G95" s="13" t="str">
        <f>IF(OR(D95="",E95=""),"",ROUND(MOD(E95-D95,1)*24-F95,2))</f>
        <v/>
      </c>
      <c r="H95" s="12"/>
      <c r="I95" s="13" t="str">
        <f>IF(H95&lt;&gt;"",H95,G95)</f>
        <v/>
      </c>
      <c r="J95" s="5"/>
      <c r="K95" s="6"/>
    </row>
    <row r="96" spans="1:11">
      <c r="A96" s="9"/>
      <c r="B96" s="10" t="str">
        <f>IF(A96="","",YEAR(A96)&amp;"/"&amp;RIGHT("0"&amp;MONTH(A96),2))</f>
        <v/>
      </c>
      <c r="C96" s="5"/>
      <c r="D96" s="11"/>
      <c r="E96" s="11"/>
      <c r="F96" s="12"/>
      <c r="G96" s="13" t="str">
        <f>IF(OR(D96="",E96=""),"",ROUND(MOD(E96-D96,1)*24-F96,2))</f>
        <v/>
      </c>
      <c r="H96" s="12"/>
      <c r="I96" s="13" t="str">
        <f>IF(H96&lt;&gt;"",H96,G96)</f>
        <v/>
      </c>
      <c r="J96" s="5"/>
      <c r="K96" s="6"/>
    </row>
    <row r="97" spans="1:11">
      <c r="A97" s="9"/>
      <c r="B97" s="10" t="str">
        <f>IF(A97="","",YEAR(A97)&amp;"/"&amp;RIGHT("0"&amp;MONTH(A97),2))</f>
        <v/>
      </c>
      <c r="C97" s="5"/>
      <c r="D97" s="11"/>
      <c r="E97" s="11"/>
      <c r="F97" s="12"/>
      <c r="G97" s="13" t="str">
        <f>IF(OR(D97="",E97=""),"",ROUND(MOD(E97-D97,1)*24-F97,2))</f>
        <v/>
      </c>
      <c r="H97" s="12"/>
      <c r="I97" s="13" t="str">
        <f>IF(H97&lt;&gt;"",H97,G97)</f>
        <v/>
      </c>
      <c r="J97" s="5"/>
      <c r="K97" s="6"/>
    </row>
    <row r="98" spans="1:11">
      <c r="A98" s="9"/>
      <c r="B98" s="10" t="str">
        <f>IF(A98="","",YEAR(A98)&amp;"/"&amp;RIGHT("0"&amp;MONTH(A98),2))</f>
        <v/>
      </c>
      <c r="C98" s="5"/>
      <c r="D98" s="11"/>
      <c r="E98" s="11"/>
      <c r="F98" s="12"/>
      <c r="G98" s="13" t="str">
        <f>IF(OR(D98="",E98=""),"",ROUND(MOD(E98-D98,1)*24-F98,2))</f>
        <v/>
      </c>
      <c r="H98" s="12"/>
      <c r="I98" s="13" t="str">
        <f>IF(H98&lt;&gt;"",H98,G98)</f>
        <v/>
      </c>
      <c r="J98" s="5"/>
      <c r="K98" s="6"/>
    </row>
    <row r="99" spans="1:11">
      <c r="A99" s="9"/>
      <c r="B99" s="10" t="str">
        <f>IF(A99="","",YEAR(A99)&amp;"/"&amp;RIGHT("0"&amp;MONTH(A99),2))</f>
        <v/>
      </c>
      <c r="C99" s="5"/>
      <c r="D99" s="11"/>
      <c r="E99" s="11"/>
      <c r="F99" s="12"/>
      <c r="G99" s="13" t="str">
        <f>IF(OR(D99="",E99=""),"",ROUND(MOD(E99-D99,1)*24-F99,2))</f>
        <v/>
      </c>
      <c r="H99" s="12"/>
      <c r="I99" s="13" t="str">
        <f>IF(H99&lt;&gt;"",H99,G99)</f>
        <v/>
      </c>
      <c r="J99" s="5"/>
      <c r="K99" s="6"/>
    </row>
    <row r="100" spans="1:11">
      <c r="A100" s="9"/>
      <c r="B100" s="10" t="str">
        <f>IF(A100="","",YEAR(A100)&amp;"/"&amp;RIGHT("0"&amp;MONTH(A100),2))</f>
        <v/>
      </c>
      <c r="C100" s="5"/>
      <c r="D100" s="11"/>
      <c r="E100" s="11"/>
      <c r="F100" s="12"/>
      <c r="G100" s="13" t="str">
        <f>IF(OR(D100="",E100=""),"",ROUND(MOD(E100-D100,1)*24-F100,2))</f>
        <v/>
      </c>
      <c r="H100" s="12"/>
      <c r="I100" s="13" t="str">
        <f>IF(H100&lt;&gt;"",H100,G100)</f>
        <v/>
      </c>
      <c r="J100" s="5"/>
      <c r="K100" s="6"/>
    </row>
    <row r="101" spans="1:11">
      <c r="A101" s="9"/>
      <c r="B101" s="10" t="str">
        <f>IF(A101="","",YEAR(A101)&amp;"/"&amp;RIGHT("0"&amp;MONTH(A101),2))</f>
        <v/>
      </c>
      <c r="C101" s="5"/>
      <c r="D101" s="11"/>
      <c r="E101" s="11"/>
      <c r="F101" s="12"/>
      <c r="G101" s="13" t="str">
        <f>IF(OR(D101="",E101=""),"",ROUND(MOD(E101-D101,1)*24-F101,2))</f>
        <v/>
      </c>
      <c r="H101" s="12"/>
      <c r="I101" s="13" t="str">
        <f>IF(H101&lt;&gt;"",H101,G101)</f>
        <v/>
      </c>
      <c r="J101" s="5"/>
      <c r="K101" s="6"/>
    </row>
    <row r="102" spans="1:11">
      <c r="A102" s="9"/>
      <c r="B102" s="10" t="str">
        <f>IF(A102="","",YEAR(A102)&amp;"/"&amp;RIGHT("0"&amp;MONTH(A102),2))</f>
        <v/>
      </c>
      <c r="C102" s="5"/>
      <c r="D102" s="11"/>
      <c r="E102" s="11"/>
      <c r="F102" s="12"/>
      <c r="G102" s="13" t="str">
        <f>IF(OR(D102="",E102=""),"",ROUND(MOD(E102-D102,1)*24-F102,2))</f>
        <v/>
      </c>
      <c r="H102" s="12"/>
      <c r="I102" s="13" t="str">
        <f>IF(H102&lt;&gt;"",H102,G102)</f>
        <v/>
      </c>
      <c r="J102" s="5"/>
      <c r="K102" s="6"/>
    </row>
    <row r="103" spans="1:11">
      <c r="A103" s="9"/>
      <c r="B103" s="10" t="str">
        <f>IF(A103="","",YEAR(A103)&amp;"/"&amp;RIGHT("0"&amp;MONTH(A103),2))</f>
        <v/>
      </c>
      <c r="C103" s="5"/>
      <c r="D103" s="11"/>
      <c r="E103" s="11"/>
      <c r="F103" s="12"/>
      <c r="G103" s="13" t="str">
        <f>IF(OR(D103="",E103=""),"",ROUND(MOD(E103-D103,1)*24-F103,2))</f>
        <v/>
      </c>
      <c r="H103" s="12"/>
      <c r="I103" s="13" t="str">
        <f>IF(H103&lt;&gt;"",H103,G103)</f>
        <v/>
      </c>
      <c r="J103" s="5"/>
      <c r="K103" s="6"/>
    </row>
    <row r="104" spans="1:11">
      <c r="A104" s="9"/>
      <c r="B104" s="10" t="str">
        <f>IF(A104="","",YEAR(A104)&amp;"/"&amp;RIGHT("0"&amp;MONTH(A104),2))</f>
        <v/>
      </c>
      <c r="C104" s="5"/>
      <c r="D104" s="11"/>
      <c r="E104" s="11"/>
      <c r="F104" s="12"/>
      <c r="G104" s="13" t="str">
        <f>IF(OR(D104="",E104=""),"",ROUND(MOD(E104-D104,1)*24-F104,2))</f>
        <v/>
      </c>
      <c r="H104" s="12"/>
      <c r="I104" s="13" t="str">
        <f>IF(H104&lt;&gt;"",H104,G104)</f>
        <v/>
      </c>
      <c r="J104" s="5"/>
      <c r="K104" s="6"/>
    </row>
    <row r="105" spans="1:11">
      <c r="A105" s="9"/>
      <c r="B105" s="10" t="str">
        <f>IF(A105="","",YEAR(A105)&amp;"/"&amp;RIGHT("0"&amp;MONTH(A105),2))</f>
        <v/>
      </c>
      <c r="C105" s="5"/>
      <c r="D105" s="11"/>
      <c r="E105" s="11"/>
      <c r="F105" s="12"/>
      <c r="G105" s="13" t="str">
        <f>IF(OR(D105="",E105=""),"",ROUND(MOD(E105-D105,1)*24-F105,2))</f>
        <v/>
      </c>
      <c r="H105" s="12"/>
      <c r="I105" s="13" t="str">
        <f>IF(H105&lt;&gt;"",H105,G105)</f>
        <v/>
      </c>
      <c r="J105" s="5"/>
      <c r="K105" s="6"/>
    </row>
    <row r="106" spans="1:11">
      <c r="A106" s="9"/>
      <c r="B106" s="10" t="str">
        <f>IF(A106="","",YEAR(A106)&amp;"/"&amp;RIGHT("0"&amp;MONTH(A106),2))</f>
        <v/>
      </c>
      <c r="C106" s="5"/>
      <c r="D106" s="11"/>
      <c r="E106" s="11"/>
      <c r="F106" s="12"/>
      <c r="G106" s="13" t="str">
        <f>IF(OR(D106="",E106=""),"",ROUND(MOD(E106-D106,1)*24-F106,2))</f>
        <v/>
      </c>
      <c r="H106" s="12"/>
      <c r="I106" s="13" t="str">
        <f>IF(H106&lt;&gt;"",H106,G106)</f>
        <v/>
      </c>
      <c r="J106" s="5"/>
      <c r="K106" s="6"/>
    </row>
    <row r="107" spans="1:11">
      <c r="A107" s="9"/>
      <c r="B107" s="10" t="str">
        <f>IF(A107="","",YEAR(A107)&amp;"/"&amp;RIGHT("0"&amp;MONTH(A107),2))</f>
        <v/>
      </c>
      <c r="C107" s="5"/>
      <c r="D107" s="11"/>
      <c r="E107" s="11"/>
      <c r="F107" s="12"/>
      <c r="G107" s="13" t="str">
        <f>IF(OR(D107="",E107=""),"",ROUND(MOD(E107-D107,1)*24-F107,2))</f>
        <v/>
      </c>
      <c r="H107" s="12"/>
      <c r="I107" s="13" t="str">
        <f>IF(H107&lt;&gt;"",H107,G107)</f>
        <v/>
      </c>
      <c r="J107" s="5"/>
      <c r="K107" s="6"/>
    </row>
    <row r="108" spans="1:11">
      <c r="A108" s="9"/>
      <c r="B108" s="10" t="str">
        <f>IF(A108="","",YEAR(A108)&amp;"/"&amp;RIGHT("0"&amp;MONTH(A108),2))</f>
        <v/>
      </c>
      <c r="C108" s="5"/>
      <c r="D108" s="11"/>
      <c r="E108" s="11"/>
      <c r="F108" s="12"/>
      <c r="G108" s="13" t="str">
        <f>IF(OR(D108="",E108=""),"",ROUND(MOD(E108-D108,1)*24-F108,2))</f>
        <v/>
      </c>
      <c r="H108" s="12"/>
      <c r="I108" s="13" t="str">
        <f>IF(H108&lt;&gt;"",H108,G108)</f>
        <v/>
      </c>
      <c r="J108" s="5"/>
      <c r="K108" s="6"/>
    </row>
    <row r="109" spans="1:11">
      <c r="A109" s="9"/>
      <c r="B109" s="10" t="str">
        <f>IF(A109="","",YEAR(A109)&amp;"/"&amp;RIGHT("0"&amp;MONTH(A109),2))</f>
        <v/>
      </c>
      <c r="C109" s="5"/>
      <c r="D109" s="11"/>
      <c r="E109" s="11"/>
      <c r="F109" s="12"/>
      <c r="G109" s="13" t="str">
        <f>IF(OR(D109="",E109=""),"",ROUND(MOD(E109-D109,1)*24-F109,2))</f>
        <v/>
      </c>
      <c r="H109" s="12"/>
      <c r="I109" s="13" t="str">
        <f>IF(H109&lt;&gt;"",H109,G109)</f>
        <v/>
      </c>
      <c r="J109" s="5"/>
      <c r="K109" s="6"/>
    </row>
    <row r="110" spans="1:11">
      <c r="A110" s="9"/>
      <c r="B110" s="10" t="str">
        <f>IF(A110="","",YEAR(A110)&amp;"/"&amp;RIGHT("0"&amp;MONTH(A110),2))</f>
        <v/>
      </c>
      <c r="C110" s="5"/>
      <c r="D110" s="11"/>
      <c r="E110" s="11"/>
      <c r="F110" s="12"/>
      <c r="G110" s="13" t="str">
        <f>IF(OR(D110="",E110=""),"",ROUND(MOD(E110-D110,1)*24-F110,2))</f>
        <v/>
      </c>
      <c r="H110" s="12"/>
      <c r="I110" s="13" t="str">
        <f>IF(H110&lt;&gt;"",H110,G110)</f>
        <v/>
      </c>
      <c r="J110" s="5"/>
      <c r="K110" s="6"/>
    </row>
    <row r="111" spans="1:11">
      <c r="A111" s="9"/>
      <c r="B111" s="10" t="str">
        <f>IF(A111="","",YEAR(A111)&amp;"/"&amp;RIGHT("0"&amp;MONTH(A111),2))</f>
        <v/>
      </c>
      <c r="C111" s="5"/>
      <c r="D111" s="11"/>
      <c r="E111" s="11"/>
      <c r="F111" s="12"/>
      <c r="G111" s="13" t="str">
        <f>IF(OR(D111="",E111=""),"",ROUND(MOD(E111-D111,1)*24-F111,2))</f>
        <v/>
      </c>
      <c r="H111" s="12"/>
      <c r="I111" s="13" t="str">
        <f>IF(H111&lt;&gt;"",H111,G111)</f>
        <v/>
      </c>
      <c r="J111" s="5"/>
      <c r="K111" s="6"/>
    </row>
    <row r="112" spans="1:11">
      <c r="A112" s="9"/>
      <c r="B112" s="10" t="str">
        <f>IF(A112="","",YEAR(A112)&amp;"/"&amp;RIGHT("0"&amp;MONTH(A112),2))</f>
        <v/>
      </c>
      <c r="C112" s="5"/>
      <c r="D112" s="11"/>
      <c r="E112" s="11"/>
      <c r="F112" s="12"/>
      <c r="G112" s="13" t="str">
        <f>IF(OR(D112="",E112=""),"",ROUND(MOD(E112-D112,1)*24-F112,2))</f>
        <v/>
      </c>
      <c r="H112" s="12"/>
      <c r="I112" s="13" t="str">
        <f>IF(H112&lt;&gt;"",H112,G112)</f>
        <v/>
      </c>
      <c r="J112" s="5"/>
      <c r="K112" s="6"/>
    </row>
    <row r="113" spans="1:11">
      <c r="A113" s="9"/>
      <c r="B113" s="10" t="str">
        <f>IF(A113="","",YEAR(A113)&amp;"/"&amp;RIGHT("0"&amp;MONTH(A113),2))</f>
        <v/>
      </c>
      <c r="C113" s="5"/>
      <c r="D113" s="11"/>
      <c r="E113" s="11"/>
      <c r="F113" s="12"/>
      <c r="G113" s="13" t="str">
        <f>IF(OR(D113="",E113=""),"",ROUND(MOD(E113-D113,1)*24-F113,2))</f>
        <v/>
      </c>
      <c r="H113" s="12"/>
      <c r="I113" s="13" t="str">
        <f>IF(H113&lt;&gt;"",H113,G113)</f>
        <v/>
      </c>
      <c r="J113" s="5"/>
      <c r="K113" s="6"/>
    </row>
    <row r="114" spans="1:11">
      <c r="A114" s="9"/>
      <c r="B114" s="10" t="str">
        <f>IF(A114="","",YEAR(A114)&amp;"/"&amp;RIGHT("0"&amp;MONTH(A114),2))</f>
        <v/>
      </c>
      <c r="C114" s="5"/>
      <c r="D114" s="11"/>
      <c r="E114" s="11"/>
      <c r="F114" s="12"/>
      <c r="G114" s="13" t="str">
        <f>IF(OR(D114="",E114=""),"",ROUND(MOD(E114-D114,1)*24-F114,2))</f>
        <v/>
      </c>
      <c r="H114" s="12"/>
      <c r="I114" s="13" t="str">
        <f>IF(H114&lt;&gt;"",H114,G114)</f>
        <v/>
      </c>
      <c r="J114" s="5"/>
      <c r="K114" s="6"/>
    </row>
    <row r="115" spans="1:11">
      <c r="A115" s="9"/>
      <c r="B115" s="10" t="str">
        <f>IF(A115="","",YEAR(A115)&amp;"/"&amp;RIGHT("0"&amp;MONTH(A115),2))</f>
        <v/>
      </c>
      <c r="C115" s="5"/>
      <c r="D115" s="11"/>
      <c r="E115" s="11"/>
      <c r="F115" s="12"/>
      <c r="G115" s="13" t="str">
        <f>IF(OR(D115="",E115=""),"",ROUND(MOD(E115-D115,1)*24-F115,2))</f>
        <v/>
      </c>
      <c r="H115" s="12"/>
      <c r="I115" s="13" t="str">
        <f>IF(H115&lt;&gt;"",H115,G115)</f>
        <v/>
      </c>
      <c r="J115" s="5"/>
      <c r="K115" s="6"/>
    </row>
    <row r="116" spans="1:11">
      <c r="A116" s="9"/>
      <c r="B116" s="10" t="str">
        <f>IF(A116="","",YEAR(A116)&amp;"/"&amp;RIGHT("0"&amp;MONTH(A116),2))</f>
        <v/>
      </c>
      <c r="C116" s="5"/>
      <c r="D116" s="11"/>
      <c r="E116" s="11"/>
      <c r="F116" s="12"/>
      <c r="G116" s="13" t="str">
        <f>IF(OR(D116="",E116=""),"",ROUND(MOD(E116-D116,1)*24-F116,2))</f>
        <v/>
      </c>
      <c r="H116" s="12"/>
      <c r="I116" s="13" t="str">
        <f>IF(H116&lt;&gt;"",H116,G116)</f>
        <v/>
      </c>
      <c r="J116" s="5"/>
      <c r="K116" s="6"/>
    </row>
    <row r="117" spans="1:11">
      <c r="A117" s="9"/>
      <c r="B117" s="10" t="str">
        <f>IF(A117="","",YEAR(A117)&amp;"/"&amp;RIGHT("0"&amp;MONTH(A117),2))</f>
        <v/>
      </c>
      <c r="C117" s="5"/>
      <c r="D117" s="11"/>
      <c r="E117" s="11"/>
      <c r="F117" s="12"/>
      <c r="G117" s="13" t="str">
        <f>IF(OR(D117="",E117=""),"",ROUND(MOD(E117-D117,1)*24-F117,2))</f>
        <v/>
      </c>
      <c r="H117" s="12"/>
      <c r="I117" s="13" t="str">
        <f>IF(H117&lt;&gt;"",H117,G117)</f>
        <v/>
      </c>
      <c r="J117" s="5"/>
      <c r="K117" s="6"/>
    </row>
    <row r="118" spans="1:11">
      <c r="A118" s="9"/>
      <c r="B118" s="10" t="str">
        <f>IF(A118="","",YEAR(A118)&amp;"/"&amp;RIGHT("0"&amp;MONTH(A118),2))</f>
        <v/>
      </c>
      <c r="C118" s="5"/>
      <c r="D118" s="11"/>
      <c r="E118" s="11"/>
      <c r="F118" s="12"/>
      <c r="G118" s="13" t="str">
        <f>IF(OR(D118="",E118=""),"",ROUND(MOD(E118-D118,1)*24-F118,2))</f>
        <v/>
      </c>
      <c r="H118" s="12"/>
      <c r="I118" s="13" t="str">
        <f>IF(H118&lt;&gt;"",H118,G118)</f>
        <v/>
      </c>
      <c r="J118" s="5"/>
      <c r="K118" s="6"/>
    </row>
    <row r="119" spans="1:11">
      <c r="A119" s="9"/>
      <c r="B119" s="10" t="str">
        <f>IF(A119="","",YEAR(A119)&amp;"/"&amp;RIGHT("0"&amp;MONTH(A119),2))</f>
        <v/>
      </c>
      <c r="C119" s="5"/>
      <c r="D119" s="11"/>
      <c r="E119" s="11"/>
      <c r="F119" s="12"/>
      <c r="G119" s="13" t="str">
        <f>IF(OR(D119="",E119=""),"",ROUND(MOD(E119-D119,1)*24-F119,2))</f>
        <v/>
      </c>
      <c r="H119" s="12"/>
      <c r="I119" s="13" t="str">
        <f>IF(H119&lt;&gt;"",H119,G119)</f>
        <v/>
      </c>
      <c r="J119" s="5"/>
      <c r="K119" s="6"/>
    </row>
    <row r="120" spans="1:11">
      <c r="A120" s="9"/>
      <c r="B120" s="10" t="str">
        <f>IF(A120="","",YEAR(A120)&amp;"/"&amp;RIGHT("0"&amp;MONTH(A120),2))</f>
        <v/>
      </c>
      <c r="C120" s="5"/>
      <c r="D120" s="11"/>
      <c r="E120" s="11"/>
      <c r="F120" s="12"/>
      <c r="G120" s="13" t="str">
        <f>IF(OR(D120="",E120=""),"",ROUND(MOD(E120-D120,1)*24-F120,2))</f>
        <v/>
      </c>
      <c r="H120" s="12"/>
      <c r="I120" s="13" t="str">
        <f>IF(H120&lt;&gt;"",H120,G120)</f>
        <v/>
      </c>
      <c r="J120" s="5"/>
      <c r="K120" s="6"/>
    </row>
    <row r="121" spans="1:11">
      <c r="A121" s="9"/>
      <c r="B121" s="10" t="str">
        <f>IF(A121="","",YEAR(A121)&amp;"/"&amp;RIGHT("0"&amp;MONTH(A121),2))</f>
        <v/>
      </c>
      <c r="C121" s="5"/>
      <c r="D121" s="11"/>
      <c r="E121" s="11"/>
      <c r="F121" s="12"/>
      <c r="G121" s="13" t="str">
        <f>IF(OR(D121="",E121=""),"",ROUND(MOD(E121-D121,1)*24-F121,2))</f>
        <v/>
      </c>
      <c r="H121" s="12"/>
      <c r="I121" s="13" t="str">
        <f>IF(H121&lt;&gt;"",H121,G121)</f>
        <v/>
      </c>
      <c r="J121" s="5"/>
      <c r="K121" s="6"/>
    </row>
    <row r="122" spans="1:11">
      <c r="A122" s="9"/>
      <c r="B122" s="10" t="str">
        <f>IF(A122="","",YEAR(A122)&amp;"/"&amp;RIGHT("0"&amp;MONTH(A122),2))</f>
        <v/>
      </c>
      <c r="C122" s="5"/>
      <c r="D122" s="11"/>
      <c r="E122" s="11"/>
      <c r="F122" s="12"/>
      <c r="G122" s="13" t="str">
        <f>IF(OR(D122="",E122=""),"",ROUND(MOD(E122-D122,1)*24-F122,2))</f>
        <v/>
      </c>
      <c r="H122" s="12"/>
      <c r="I122" s="13" t="str">
        <f>IF(H122&lt;&gt;"",H122,G122)</f>
        <v/>
      </c>
      <c r="J122" s="5"/>
      <c r="K122" s="6"/>
    </row>
    <row r="123" spans="1:11">
      <c r="A123" s="9"/>
      <c r="B123" s="10" t="str">
        <f>IF(A123="","",YEAR(A123)&amp;"/"&amp;RIGHT("0"&amp;MONTH(A123),2))</f>
        <v/>
      </c>
      <c r="C123" s="5"/>
      <c r="D123" s="11"/>
      <c r="E123" s="11"/>
      <c r="F123" s="12"/>
      <c r="G123" s="13" t="str">
        <f>IF(OR(D123="",E123=""),"",ROUND(MOD(E123-D123,1)*24-F123,2))</f>
        <v/>
      </c>
      <c r="H123" s="12"/>
      <c r="I123" s="13" t="str">
        <f>IF(H123&lt;&gt;"",H123,G123)</f>
        <v/>
      </c>
      <c r="J123" s="5"/>
      <c r="K123" s="6"/>
    </row>
    <row r="124" spans="1:11">
      <c r="A124" s="9"/>
      <c r="B124" s="10" t="str">
        <f>IF(A124="","",YEAR(A124)&amp;"/"&amp;RIGHT("0"&amp;MONTH(A124),2))</f>
        <v/>
      </c>
      <c r="C124" s="5"/>
      <c r="D124" s="11"/>
      <c r="E124" s="11"/>
      <c r="F124" s="12"/>
      <c r="G124" s="13" t="str">
        <f>IF(OR(D124="",E124=""),"",ROUND(MOD(E124-D124,1)*24-F124,2))</f>
        <v/>
      </c>
      <c r="H124" s="12"/>
      <c r="I124" s="13" t="str">
        <f>IF(H124&lt;&gt;"",H124,G124)</f>
        <v/>
      </c>
      <c r="J124" s="5"/>
      <c r="K124" s="6"/>
    </row>
    <row r="125" spans="1:11">
      <c r="A125" s="9"/>
      <c r="B125" s="10" t="str">
        <f>IF(A125="","",YEAR(A125)&amp;"/"&amp;RIGHT("0"&amp;MONTH(A125),2))</f>
        <v/>
      </c>
      <c r="C125" s="5"/>
      <c r="D125" s="11"/>
      <c r="E125" s="11"/>
      <c r="F125" s="12"/>
      <c r="G125" s="13" t="str">
        <f>IF(OR(D125="",E125=""),"",ROUND(MOD(E125-D125,1)*24-F125,2))</f>
        <v/>
      </c>
      <c r="H125" s="12"/>
      <c r="I125" s="13" t="str">
        <f>IF(H125&lt;&gt;"",H125,G125)</f>
        <v/>
      </c>
      <c r="J125" s="5"/>
      <c r="K125" s="6"/>
    </row>
    <row r="126" spans="1:11">
      <c r="A126" s="9"/>
      <c r="B126" s="10" t="str">
        <f>IF(A126="","",YEAR(A126)&amp;"/"&amp;RIGHT("0"&amp;MONTH(A126),2))</f>
        <v/>
      </c>
      <c r="C126" s="5"/>
      <c r="D126" s="11"/>
      <c r="E126" s="11"/>
      <c r="F126" s="12"/>
      <c r="G126" s="13" t="str">
        <f>IF(OR(D126="",E126=""),"",ROUND(MOD(E126-D126,1)*24-F126,2))</f>
        <v/>
      </c>
      <c r="H126" s="12"/>
      <c r="I126" s="13" t="str">
        <f>IF(H126&lt;&gt;"",H126,G126)</f>
        <v/>
      </c>
      <c r="J126" s="5"/>
      <c r="K126" s="6"/>
    </row>
    <row r="127" spans="1:11">
      <c r="A127" s="9"/>
      <c r="B127" s="10" t="str">
        <f>IF(A127="","",YEAR(A127)&amp;"/"&amp;RIGHT("0"&amp;MONTH(A127),2))</f>
        <v/>
      </c>
      <c r="C127" s="5"/>
      <c r="D127" s="11"/>
      <c r="E127" s="11"/>
      <c r="F127" s="12"/>
      <c r="G127" s="13" t="str">
        <f>IF(OR(D127="",E127=""),"",ROUND(MOD(E127-D127,1)*24-F127,2))</f>
        <v/>
      </c>
      <c r="H127" s="12"/>
      <c r="I127" s="13" t="str">
        <f>IF(H127&lt;&gt;"",H127,G127)</f>
        <v/>
      </c>
      <c r="J127" s="5"/>
      <c r="K127" s="6"/>
    </row>
    <row r="128" spans="1:11">
      <c r="A128" s="9"/>
      <c r="B128" s="10" t="str">
        <f>IF(A128="","",YEAR(A128)&amp;"/"&amp;RIGHT("0"&amp;MONTH(A128),2))</f>
        <v/>
      </c>
      <c r="C128" s="5"/>
      <c r="D128" s="11"/>
      <c r="E128" s="11"/>
      <c r="F128" s="12"/>
      <c r="G128" s="13" t="str">
        <f>IF(OR(D128="",E128=""),"",ROUND(MOD(E128-D128,1)*24-F128,2))</f>
        <v/>
      </c>
      <c r="H128" s="12"/>
      <c r="I128" s="13" t="str">
        <f>IF(H128&lt;&gt;"",H128,G128)</f>
        <v/>
      </c>
      <c r="J128" s="5"/>
      <c r="K128" s="6"/>
    </row>
    <row r="129" spans="1:11">
      <c r="A129" s="9"/>
      <c r="B129" s="10" t="str">
        <f>IF(A129="","",YEAR(A129)&amp;"/"&amp;RIGHT("0"&amp;MONTH(A129),2))</f>
        <v/>
      </c>
      <c r="C129" s="5"/>
      <c r="D129" s="11"/>
      <c r="E129" s="11"/>
      <c r="F129" s="12"/>
      <c r="G129" s="13" t="str">
        <f>IF(OR(D129="",E129=""),"",ROUND(MOD(E129-D129,1)*24-F129,2))</f>
        <v/>
      </c>
      <c r="H129" s="12"/>
      <c r="I129" s="13" t="str">
        <f>IF(H129&lt;&gt;"",H129,G129)</f>
        <v/>
      </c>
      <c r="J129" s="5"/>
      <c r="K129" s="6"/>
    </row>
    <row r="130" spans="1:11">
      <c r="A130" s="9"/>
      <c r="B130" s="10" t="str">
        <f>IF(A130="","",YEAR(A130)&amp;"/"&amp;RIGHT("0"&amp;MONTH(A130),2))</f>
        <v/>
      </c>
      <c r="C130" s="5"/>
      <c r="D130" s="11"/>
      <c r="E130" s="11"/>
      <c r="F130" s="12"/>
      <c r="G130" s="13" t="str">
        <f>IF(OR(D130="",E130=""),"",ROUND(MOD(E130-D130,1)*24-F130,2))</f>
        <v/>
      </c>
      <c r="H130" s="12"/>
      <c r="I130" s="13" t="str">
        <f>IF(H130&lt;&gt;"",H130,G130)</f>
        <v/>
      </c>
      <c r="J130" s="5"/>
      <c r="K130" s="6"/>
    </row>
    <row r="131" spans="1:11">
      <c r="A131" s="9"/>
      <c r="B131" s="10" t="str">
        <f>IF(A131="","",YEAR(A131)&amp;"/"&amp;RIGHT("0"&amp;MONTH(A131),2))</f>
        <v/>
      </c>
      <c r="C131" s="5"/>
      <c r="D131" s="11"/>
      <c r="E131" s="11"/>
      <c r="F131" s="12"/>
      <c r="G131" s="13" t="str">
        <f>IF(OR(D131="",E131=""),"",ROUND(MOD(E131-D131,1)*24-F131,2))</f>
        <v/>
      </c>
      <c r="H131" s="12"/>
      <c r="I131" s="13" t="str">
        <f>IF(H131&lt;&gt;"",H131,G131)</f>
        <v/>
      </c>
      <c r="J131" s="5"/>
      <c r="K131" s="6"/>
    </row>
    <row r="132" spans="1:11">
      <c r="A132" s="9"/>
      <c r="B132" s="10" t="str">
        <f>IF(A132="","",YEAR(A132)&amp;"/"&amp;RIGHT("0"&amp;MONTH(A132),2))</f>
        <v/>
      </c>
      <c r="C132" s="5"/>
      <c r="D132" s="11"/>
      <c r="E132" s="11"/>
      <c r="F132" s="12"/>
      <c r="G132" s="13" t="str">
        <f>IF(OR(D132="",E132=""),"",ROUND(MOD(E132-D132,1)*24-F132,2))</f>
        <v/>
      </c>
      <c r="H132" s="12"/>
      <c r="I132" s="13" t="str">
        <f>IF(H132&lt;&gt;"",H132,G132)</f>
        <v/>
      </c>
      <c r="J132" s="5"/>
      <c r="K132" s="6"/>
    </row>
    <row r="133" spans="1:11">
      <c r="A133" s="9"/>
      <c r="B133" s="10" t="str">
        <f>IF(A133="","",YEAR(A133)&amp;"/"&amp;RIGHT("0"&amp;MONTH(A133),2))</f>
        <v/>
      </c>
      <c r="C133" s="5"/>
      <c r="D133" s="11"/>
      <c r="E133" s="11"/>
      <c r="F133" s="12"/>
      <c r="G133" s="13" t="str">
        <f>IF(OR(D133="",E133=""),"",ROUND(MOD(E133-D133,1)*24-F133,2))</f>
        <v/>
      </c>
      <c r="H133" s="12"/>
      <c r="I133" s="13" t="str">
        <f>IF(H133&lt;&gt;"",H133,G133)</f>
        <v/>
      </c>
      <c r="J133" s="5"/>
      <c r="K133" s="6"/>
    </row>
    <row r="134" spans="1:11">
      <c r="A134" s="9"/>
      <c r="B134" s="10" t="str">
        <f>IF(A134="","",YEAR(A134)&amp;"/"&amp;RIGHT("0"&amp;MONTH(A134),2))</f>
        <v/>
      </c>
      <c r="C134" s="5"/>
      <c r="D134" s="11"/>
      <c r="E134" s="11"/>
      <c r="F134" s="12"/>
      <c r="G134" s="13" t="str">
        <f>IF(OR(D134="",E134=""),"",ROUND(MOD(E134-D134,1)*24-F134,2))</f>
        <v/>
      </c>
      <c r="H134" s="12"/>
      <c r="I134" s="13" t="str">
        <f>IF(H134&lt;&gt;"",H134,G134)</f>
        <v/>
      </c>
      <c r="J134" s="5"/>
      <c r="K134" s="6"/>
    </row>
    <row r="135" spans="1:11">
      <c r="A135" s="9"/>
      <c r="B135" s="10" t="str">
        <f>IF(A135="","",YEAR(A135)&amp;"/"&amp;RIGHT("0"&amp;MONTH(A135),2))</f>
        <v/>
      </c>
      <c r="C135" s="5"/>
      <c r="D135" s="11"/>
      <c r="E135" s="11"/>
      <c r="F135" s="12"/>
      <c r="G135" s="13" t="str">
        <f>IF(OR(D135="",E135=""),"",ROUND(MOD(E135-D135,1)*24-F135,2))</f>
        <v/>
      </c>
      <c r="H135" s="12"/>
      <c r="I135" s="13" t="str">
        <f>IF(H135&lt;&gt;"",H135,G135)</f>
        <v/>
      </c>
      <c r="J135" s="5"/>
      <c r="K135" s="6"/>
    </row>
    <row r="136" spans="1:11">
      <c r="A136" s="9"/>
      <c r="B136" s="10" t="str">
        <f>IF(A136="","",YEAR(A136)&amp;"/"&amp;RIGHT("0"&amp;MONTH(A136),2))</f>
        <v/>
      </c>
      <c r="C136" s="5"/>
      <c r="D136" s="11"/>
      <c r="E136" s="11"/>
      <c r="F136" s="12"/>
      <c r="G136" s="13" t="str">
        <f>IF(OR(D136="",E136=""),"",ROUND(MOD(E136-D136,1)*24-F136,2))</f>
        <v/>
      </c>
      <c r="H136" s="12"/>
      <c r="I136" s="13" t="str">
        <f>IF(H136&lt;&gt;"",H136,G136)</f>
        <v/>
      </c>
      <c r="J136" s="5"/>
      <c r="K136" s="6"/>
    </row>
    <row r="137" spans="1:11">
      <c r="A137" s="9"/>
      <c r="B137" s="10" t="str">
        <f>IF(A137="","",YEAR(A137)&amp;"/"&amp;RIGHT("0"&amp;MONTH(A137),2))</f>
        <v/>
      </c>
      <c r="C137" s="5"/>
      <c r="D137" s="11"/>
      <c r="E137" s="11"/>
      <c r="F137" s="12"/>
      <c r="G137" s="13" t="str">
        <f>IF(OR(D137="",E137=""),"",ROUND(MOD(E137-D137,1)*24-F137,2))</f>
        <v/>
      </c>
      <c r="H137" s="12"/>
      <c r="I137" s="13" t="str">
        <f>IF(H137&lt;&gt;"",H137,G137)</f>
        <v/>
      </c>
      <c r="J137" s="5"/>
      <c r="K137" s="6"/>
    </row>
    <row r="138" spans="1:11">
      <c r="A138" s="9"/>
      <c r="B138" s="10" t="str">
        <f>IF(A138="","",YEAR(A138)&amp;"/"&amp;RIGHT("0"&amp;MONTH(A138),2))</f>
        <v/>
      </c>
      <c r="C138" s="5"/>
      <c r="D138" s="11"/>
      <c r="E138" s="11"/>
      <c r="F138" s="12"/>
      <c r="G138" s="13" t="str">
        <f>IF(OR(D138="",E138=""),"",ROUND(MOD(E138-D138,1)*24-F138,2))</f>
        <v/>
      </c>
      <c r="H138" s="12"/>
      <c r="I138" s="13" t="str">
        <f>IF(H138&lt;&gt;"",H138,G138)</f>
        <v/>
      </c>
      <c r="J138" s="5"/>
      <c r="K138" s="6"/>
    </row>
    <row r="139" spans="1:11">
      <c r="A139" s="9"/>
      <c r="B139" s="10" t="str">
        <f>IF(A139="","",YEAR(A139)&amp;"/"&amp;RIGHT("0"&amp;MONTH(A139),2))</f>
        <v/>
      </c>
      <c r="C139" s="5"/>
      <c r="D139" s="11"/>
      <c r="E139" s="11"/>
      <c r="F139" s="12"/>
      <c r="G139" s="13" t="str">
        <f>IF(OR(D139="",E139=""),"",ROUND(MOD(E139-D139,1)*24-F139,2))</f>
        <v/>
      </c>
      <c r="H139" s="12"/>
      <c r="I139" s="13" t="str">
        <f>IF(H139&lt;&gt;"",H139,G139)</f>
        <v/>
      </c>
      <c r="J139" s="5"/>
      <c r="K139" s="6"/>
    </row>
    <row r="140" spans="1:11">
      <c r="A140" s="9"/>
      <c r="B140" s="10" t="str">
        <f>IF(A140="","",YEAR(A140)&amp;"/"&amp;RIGHT("0"&amp;MONTH(A140),2))</f>
        <v/>
      </c>
      <c r="C140" s="5"/>
      <c r="D140" s="11"/>
      <c r="E140" s="11"/>
      <c r="F140" s="12"/>
      <c r="G140" s="13" t="str">
        <f>IF(OR(D140="",E140=""),"",ROUND(MOD(E140-D140,1)*24-F140,2))</f>
        <v/>
      </c>
      <c r="H140" s="12"/>
      <c r="I140" s="13" t="str">
        <f>IF(H140&lt;&gt;"",H140,G140)</f>
        <v/>
      </c>
      <c r="J140" s="5"/>
      <c r="K140" s="6"/>
    </row>
    <row r="141" spans="1:11">
      <c r="A141" s="9"/>
      <c r="B141" s="10" t="str">
        <f>IF(A141="","",YEAR(A141)&amp;"/"&amp;RIGHT("0"&amp;MONTH(A141),2))</f>
        <v/>
      </c>
      <c r="C141" s="5"/>
      <c r="D141" s="11"/>
      <c r="E141" s="11"/>
      <c r="F141" s="12"/>
      <c r="G141" s="13" t="str">
        <f>IF(OR(D141="",E141=""),"",ROUND(MOD(E141-D141,1)*24-F141,2))</f>
        <v/>
      </c>
      <c r="H141" s="12"/>
      <c r="I141" s="13" t="str">
        <f>IF(H141&lt;&gt;"",H141,G141)</f>
        <v/>
      </c>
      <c r="J141" s="5"/>
      <c r="K141" s="6"/>
    </row>
    <row r="142" spans="1:11">
      <c r="A142" s="9"/>
      <c r="B142" s="10" t="str">
        <f>IF(A142="","",YEAR(A142)&amp;"/"&amp;RIGHT("0"&amp;MONTH(A142),2))</f>
        <v/>
      </c>
      <c r="C142" s="5"/>
      <c r="D142" s="11"/>
      <c r="E142" s="11"/>
      <c r="F142" s="12"/>
      <c r="G142" s="13" t="str">
        <f>IF(OR(D142="",E142=""),"",ROUND(MOD(E142-D142,1)*24-F142,2))</f>
        <v/>
      </c>
      <c r="H142" s="12"/>
      <c r="I142" s="13" t="str">
        <f>IF(H142&lt;&gt;"",H142,G142)</f>
        <v/>
      </c>
      <c r="J142" s="5"/>
      <c r="K142" s="6"/>
    </row>
    <row r="143" spans="1:11">
      <c r="A143" s="9"/>
      <c r="B143" s="10" t="str">
        <f>IF(A143="","",YEAR(A143)&amp;"/"&amp;RIGHT("0"&amp;MONTH(A143),2))</f>
        <v/>
      </c>
      <c r="C143" s="5"/>
      <c r="D143" s="11"/>
      <c r="E143" s="11"/>
      <c r="F143" s="12"/>
      <c r="G143" s="13" t="str">
        <f>IF(OR(D143="",E143=""),"",ROUND(MOD(E143-D143,1)*24-F143,2))</f>
        <v/>
      </c>
      <c r="H143" s="12"/>
      <c r="I143" s="13" t="str">
        <f>IF(H143&lt;&gt;"",H143,G143)</f>
        <v/>
      </c>
      <c r="J143" s="5"/>
      <c r="K143" s="6"/>
    </row>
    <row r="144" spans="1:11">
      <c r="A144" s="9"/>
      <c r="B144" s="10" t="str">
        <f>IF(A144="","",YEAR(A144)&amp;"/"&amp;RIGHT("0"&amp;MONTH(A144),2))</f>
        <v/>
      </c>
      <c r="C144" s="5"/>
      <c r="D144" s="11"/>
      <c r="E144" s="11"/>
      <c r="F144" s="12"/>
      <c r="G144" s="13" t="str">
        <f>IF(OR(D144="",E144=""),"",ROUND(MOD(E144-D144,1)*24-F144,2))</f>
        <v/>
      </c>
      <c r="H144" s="12"/>
      <c r="I144" s="13" t="str">
        <f>IF(H144&lt;&gt;"",H144,G144)</f>
        <v/>
      </c>
      <c r="J144" s="5"/>
      <c r="K144" s="6"/>
    </row>
    <row r="145" spans="1:11">
      <c r="A145" s="9"/>
      <c r="B145" s="10" t="str">
        <f>IF(A145="","",YEAR(A145)&amp;"/"&amp;RIGHT("0"&amp;MONTH(A145),2))</f>
        <v/>
      </c>
      <c r="C145" s="5"/>
      <c r="D145" s="11"/>
      <c r="E145" s="11"/>
      <c r="F145" s="12"/>
      <c r="G145" s="13" t="str">
        <f>IF(OR(D145="",E145=""),"",ROUND(MOD(E145-D145,1)*24-F145,2))</f>
        <v/>
      </c>
      <c r="H145" s="12"/>
      <c r="I145" s="13" t="str">
        <f>IF(H145&lt;&gt;"",H145,G145)</f>
        <v/>
      </c>
      <c r="J145" s="5"/>
      <c r="K145" s="6"/>
    </row>
    <row r="146" spans="1:11">
      <c r="A146" s="9"/>
      <c r="B146" s="10" t="str">
        <f>IF(A146="","",YEAR(A146)&amp;"/"&amp;RIGHT("0"&amp;MONTH(A146),2))</f>
        <v/>
      </c>
      <c r="C146" s="5"/>
      <c r="D146" s="11"/>
      <c r="E146" s="11"/>
      <c r="F146" s="12"/>
      <c r="G146" s="13" t="str">
        <f>IF(OR(D146="",E146=""),"",ROUND(MOD(E146-D146,1)*24-F146,2))</f>
        <v/>
      </c>
      <c r="H146" s="12"/>
      <c r="I146" s="13" t="str">
        <f>IF(H146&lt;&gt;"",H146,G146)</f>
        <v/>
      </c>
      <c r="J146" s="5"/>
      <c r="K146" s="6"/>
    </row>
    <row r="147" spans="1:11">
      <c r="A147" s="9"/>
      <c r="B147" s="10" t="str">
        <f>IF(A147="","",YEAR(A147)&amp;"/"&amp;RIGHT("0"&amp;MONTH(A147),2))</f>
        <v/>
      </c>
      <c r="C147" s="5"/>
      <c r="D147" s="11"/>
      <c r="E147" s="11"/>
      <c r="F147" s="12"/>
      <c r="G147" s="13" t="str">
        <f>IF(OR(D147="",E147=""),"",ROUND(MOD(E147-D147,1)*24-F147,2))</f>
        <v/>
      </c>
      <c r="H147" s="12"/>
      <c r="I147" s="13" t="str">
        <f>IF(H147&lt;&gt;"",H147,G147)</f>
        <v/>
      </c>
      <c r="J147" s="5"/>
      <c r="K147" s="6"/>
    </row>
    <row r="148" spans="1:11">
      <c r="A148" s="9"/>
      <c r="B148" s="10" t="str">
        <f>IF(A148="","",YEAR(A148)&amp;"/"&amp;RIGHT("0"&amp;MONTH(A148),2))</f>
        <v/>
      </c>
      <c r="C148" s="5"/>
      <c r="D148" s="11"/>
      <c r="E148" s="11"/>
      <c r="F148" s="12"/>
      <c r="G148" s="13" t="str">
        <f>IF(OR(D148="",E148=""),"",ROUND(MOD(E148-D148,1)*24-F148,2))</f>
        <v/>
      </c>
      <c r="H148" s="12"/>
      <c r="I148" s="13" t="str">
        <f>IF(H148&lt;&gt;"",H148,G148)</f>
        <v/>
      </c>
      <c r="J148" s="5"/>
      <c r="K148" s="6"/>
    </row>
    <row r="149" spans="1:11">
      <c r="A149" s="9"/>
      <c r="B149" s="10" t="str">
        <f>IF(A149="","",YEAR(A149)&amp;"/"&amp;RIGHT("0"&amp;MONTH(A149),2))</f>
        <v/>
      </c>
      <c r="C149" s="5"/>
      <c r="D149" s="11"/>
      <c r="E149" s="11"/>
      <c r="F149" s="12"/>
      <c r="G149" s="13" t="str">
        <f>IF(OR(D149="",E149=""),"",ROUND(MOD(E149-D149,1)*24-F149,2))</f>
        <v/>
      </c>
      <c r="H149" s="12"/>
      <c r="I149" s="13" t="str">
        <f>IF(H149&lt;&gt;"",H149,G149)</f>
        <v/>
      </c>
      <c r="J149" s="5"/>
      <c r="K149" s="6"/>
    </row>
    <row r="150" spans="1:11">
      <c r="A150" s="9"/>
      <c r="B150" s="10" t="str">
        <f>IF(A150="","",YEAR(A150)&amp;"/"&amp;RIGHT("0"&amp;MONTH(A150),2))</f>
        <v/>
      </c>
      <c r="C150" s="5"/>
      <c r="D150" s="11"/>
      <c r="E150" s="11"/>
      <c r="F150" s="12"/>
      <c r="G150" s="13" t="str">
        <f>IF(OR(D150="",E150=""),"",ROUND(MOD(E150-D150,1)*24-F150,2))</f>
        <v/>
      </c>
      <c r="H150" s="12"/>
      <c r="I150" s="13" t="str">
        <f>IF(H150&lt;&gt;"",H150,G150)</f>
        <v/>
      </c>
      <c r="J150" s="5"/>
      <c r="K150" s="6"/>
    </row>
    <row r="151" spans="1:11">
      <c r="A151" s="9"/>
      <c r="B151" s="10" t="str">
        <f>IF(A151="","",YEAR(A151)&amp;"/"&amp;RIGHT("0"&amp;MONTH(A151),2))</f>
        <v/>
      </c>
      <c r="C151" s="5"/>
      <c r="D151" s="11"/>
      <c r="E151" s="11"/>
      <c r="F151" s="12"/>
      <c r="G151" s="13" t="str">
        <f>IF(OR(D151="",E151=""),"",ROUND(MOD(E151-D151,1)*24-F151,2))</f>
        <v/>
      </c>
      <c r="H151" s="12"/>
      <c r="I151" s="13" t="str">
        <f>IF(H151&lt;&gt;"",H151,G151)</f>
        <v/>
      </c>
      <c r="J151" s="5"/>
      <c r="K151" s="6"/>
    </row>
    <row r="152" spans="1:11">
      <c r="A152" s="9"/>
      <c r="B152" s="10" t="str">
        <f>IF(A152="","",YEAR(A152)&amp;"/"&amp;RIGHT("0"&amp;MONTH(A152),2))</f>
        <v/>
      </c>
      <c r="C152" s="5"/>
      <c r="D152" s="11"/>
      <c r="E152" s="11"/>
      <c r="F152" s="12"/>
      <c r="G152" s="13" t="str">
        <f>IF(OR(D152="",E152=""),"",ROUND(MOD(E152-D152,1)*24-F152,2))</f>
        <v/>
      </c>
      <c r="H152" s="12"/>
      <c r="I152" s="13" t="str">
        <f>IF(H152&lt;&gt;"",H152,G152)</f>
        <v/>
      </c>
      <c r="J152" s="5"/>
      <c r="K152" s="6"/>
    </row>
    <row r="153" spans="1:11">
      <c r="A153" s="9"/>
      <c r="B153" s="10" t="str">
        <f>IF(A153="","",YEAR(A153)&amp;"/"&amp;RIGHT("0"&amp;MONTH(A153),2))</f>
        <v/>
      </c>
      <c r="C153" s="5"/>
      <c r="D153" s="11"/>
      <c r="E153" s="11"/>
      <c r="F153" s="12"/>
      <c r="G153" s="13" t="str">
        <f>IF(OR(D153="",E153=""),"",ROUND(MOD(E153-D153,1)*24-F153,2))</f>
        <v/>
      </c>
      <c r="H153" s="12"/>
      <c r="I153" s="13" t="str">
        <f>IF(H153&lt;&gt;"",H153,G153)</f>
        <v/>
      </c>
      <c r="J153" s="5"/>
      <c r="K153" s="6"/>
    </row>
    <row r="154" spans="1:11">
      <c r="A154" s="9"/>
      <c r="B154" s="10" t="str">
        <f>IF(A154="","",YEAR(A154)&amp;"/"&amp;RIGHT("0"&amp;MONTH(A154),2))</f>
        <v/>
      </c>
      <c r="C154" s="5"/>
      <c r="D154" s="11"/>
      <c r="E154" s="11"/>
      <c r="F154" s="12"/>
      <c r="G154" s="13" t="str">
        <f>IF(OR(D154="",E154=""),"",ROUND(MOD(E154-D154,1)*24-F154,2))</f>
        <v/>
      </c>
      <c r="H154" s="12"/>
      <c r="I154" s="13" t="str">
        <f>IF(H154&lt;&gt;"",H154,G154)</f>
        <v/>
      </c>
      <c r="J154" s="5"/>
      <c r="K154" s="6"/>
    </row>
    <row r="155" spans="1:11">
      <c r="A155" s="9"/>
      <c r="B155" s="10" t="str">
        <f>IF(A155="","",YEAR(A155)&amp;"/"&amp;RIGHT("0"&amp;MONTH(A155),2))</f>
        <v/>
      </c>
      <c r="C155" s="5"/>
      <c r="D155" s="11"/>
      <c r="E155" s="11"/>
      <c r="F155" s="12"/>
      <c r="G155" s="13" t="str">
        <f>IF(OR(D155="",E155=""),"",ROUND(MOD(E155-D155,1)*24-F155,2))</f>
        <v/>
      </c>
      <c r="H155" s="12"/>
      <c r="I155" s="13" t="str">
        <f>IF(H155&lt;&gt;"",H155,G155)</f>
        <v/>
      </c>
      <c r="J155" s="5"/>
      <c r="K155" s="6"/>
    </row>
    <row r="156" spans="1:11">
      <c r="A156" s="9"/>
      <c r="B156" s="10" t="str">
        <f>IF(A156="","",YEAR(A156)&amp;"/"&amp;RIGHT("0"&amp;MONTH(A156),2))</f>
        <v/>
      </c>
      <c r="C156" s="5"/>
      <c r="D156" s="11"/>
      <c r="E156" s="11"/>
      <c r="F156" s="12"/>
      <c r="G156" s="13" t="str">
        <f>IF(OR(D156="",E156=""),"",ROUND(MOD(E156-D156,1)*24-F156,2))</f>
        <v/>
      </c>
      <c r="H156" s="12"/>
      <c r="I156" s="13" t="str">
        <f>IF(H156&lt;&gt;"",H156,G156)</f>
        <v/>
      </c>
      <c r="J156" s="5"/>
      <c r="K156" s="6"/>
    </row>
    <row r="157" spans="1:11">
      <c r="A157" s="9"/>
      <c r="B157" s="10" t="str">
        <f>IF(A157="","",YEAR(A157)&amp;"/"&amp;RIGHT("0"&amp;MONTH(A157),2))</f>
        <v/>
      </c>
      <c r="C157" s="5"/>
      <c r="D157" s="11"/>
      <c r="E157" s="11"/>
      <c r="F157" s="12"/>
      <c r="G157" s="13" t="str">
        <f>IF(OR(D157="",E157=""),"",ROUND(MOD(E157-D157,1)*24-F157,2))</f>
        <v/>
      </c>
      <c r="H157" s="12"/>
      <c r="I157" s="13" t="str">
        <f>IF(H157&lt;&gt;"",H157,G157)</f>
        <v/>
      </c>
      <c r="J157" s="5"/>
      <c r="K157" s="6"/>
    </row>
    <row r="158" spans="1:11">
      <c r="A158" s="9"/>
      <c r="B158" s="10" t="str">
        <f>IF(A158="","",YEAR(A158)&amp;"/"&amp;RIGHT("0"&amp;MONTH(A158),2))</f>
        <v/>
      </c>
      <c r="C158" s="5"/>
      <c r="D158" s="11"/>
      <c r="E158" s="11"/>
      <c r="F158" s="12"/>
      <c r="G158" s="13" t="str">
        <f>IF(OR(D158="",E158=""),"",ROUND(MOD(E158-D158,1)*24-F158,2))</f>
        <v/>
      </c>
      <c r="H158" s="12"/>
      <c r="I158" s="13" t="str">
        <f>IF(H158&lt;&gt;"",H158,G158)</f>
        <v/>
      </c>
      <c r="J158" s="5"/>
      <c r="K158" s="6"/>
    </row>
    <row r="159" spans="1:11">
      <c r="A159" s="9"/>
      <c r="B159" s="10" t="str">
        <f>IF(A159="","",YEAR(A159)&amp;"/"&amp;RIGHT("0"&amp;MONTH(A159),2))</f>
        <v/>
      </c>
      <c r="C159" s="5"/>
      <c r="D159" s="11"/>
      <c r="E159" s="11"/>
      <c r="F159" s="12"/>
      <c r="G159" s="13" t="str">
        <f>IF(OR(D159="",E159=""),"",ROUND(MOD(E159-D159,1)*24-F159,2))</f>
        <v/>
      </c>
      <c r="H159" s="12"/>
      <c r="I159" s="13" t="str">
        <f>IF(H159&lt;&gt;"",H159,G159)</f>
        <v/>
      </c>
      <c r="J159" s="5"/>
      <c r="K159" s="6"/>
    </row>
    <row r="160" spans="1:11">
      <c r="A160" s="9"/>
      <c r="B160" s="10" t="str">
        <f>IF(A160="","",YEAR(A160)&amp;"/"&amp;RIGHT("0"&amp;MONTH(A160),2))</f>
        <v/>
      </c>
      <c r="C160" s="5"/>
      <c r="D160" s="11"/>
      <c r="E160" s="11"/>
      <c r="F160" s="12"/>
      <c r="G160" s="13" t="str">
        <f>IF(OR(D160="",E160=""),"",ROUND(MOD(E160-D160,1)*24-F160,2))</f>
        <v/>
      </c>
      <c r="H160" s="12"/>
      <c r="I160" s="13" t="str">
        <f>IF(H160&lt;&gt;"",H160,G160)</f>
        <v/>
      </c>
      <c r="J160" s="5"/>
      <c r="K160" s="6"/>
    </row>
    <row r="161" spans="1:11">
      <c r="A161" s="9"/>
      <c r="B161" s="10" t="str">
        <f>IF(A161="","",YEAR(A161)&amp;"/"&amp;RIGHT("0"&amp;MONTH(A161),2))</f>
        <v/>
      </c>
      <c r="C161" s="5"/>
      <c r="D161" s="11"/>
      <c r="E161" s="11"/>
      <c r="F161" s="12"/>
      <c r="G161" s="13" t="str">
        <f>IF(OR(D161="",E161=""),"",ROUND(MOD(E161-D161,1)*24-F161,2))</f>
        <v/>
      </c>
      <c r="H161" s="12"/>
      <c r="I161" s="13" t="str">
        <f>IF(H161&lt;&gt;"",H161,G161)</f>
        <v/>
      </c>
      <c r="J161" s="5"/>
      <c r="K161" s="6"/>
    </row>
    <row r="162" spans="1:11">
      <c r="A162" s="9"/>
      <c r="B162" s="10" t="str">
        <f>IF(A162="","",YEAR(A162)&amp;"/"&amp;RIGHT("0"&amp;MONTH(A162),2))</f>
        <v/>
      </c>
      <c r="C162" s="5"/>
      <c r="D162" s="11"/>
      <c r="E162" s="11"/>
      <c r="F162" s="12"/>
      <c r="G162" s="13" t="str">
        <f>IF(OR(D162="",E162=""),"",ROUND(MOD(E162-D162,1)*24-F162,2))</f>
        <v/>
      </c>
      <c r="H162" s="12"/>
      <c r="I162" s="13" t="str">
        <f>IF(H162&lt;&gt;"",H162,G162)</f>
        <v/>
      </c>
      <c r="J162" s="5"/>
      <c r="K162" s="6"/>
    </row>
    <row r="163" spans="1:11">
      <c r="A163" s="9"/>
      <c r="B163" s="10" t="str">
        <f>IF(A163="","",YEAR(A163)&amp;"/"&amp;RIGHT("0"&amp;MONTH(A163),2))</f>
        <v/>
      </c>
      <c r="C163" s="5"/>
      <c r="D163" s="11"/>
      <c r="E163" s="11"/>
      <c r="F163" s="12"/>
      <c r="G163" s="13" t="str">
        <f>IF(OR(D163="",E163=""),"",ROUND(MOD(E163-D163,1)*24-F163,2))</f>
        <v/>
      </c>
      <c r="H163" s="12"/>
      <c r="I163" s="13" t="str">
        <f>IF(H163&lt;&gt;"",H163,G163)</f>
        <v/>
      </c>
      <c r="J163" s="5"/>
      <c r="K163" s="6"/>
    </row>
    <row r="164" spans="1:11">
      <c r="A164" s="9"/>
      <c r="B164" s="10" t="str">
        <f>IF(A164="","",YEAR(A164)&amp;"/"&amp;RIGHT("0"&amp;MONTH(A164),2))</f>
        <v/>
      </c>
      <c r="C164" s="5"/>
      <c r="D164" s="11"/>
      <c r="E164" s="11"/>
      <c r="F164" s="12"/>
      <c r="G164" s="13" t="str">
        <f>IF(OR(D164="",E164=""),"",ROUND(MOD(E164-D164,1)*24-F164,2))</f>
        <v/>
      </c>
      <c r="H164" s="12"/>
      <c r="I164" s="13" t="str">
        <f>IF(H164&lt;&gt;"",H164,G164)</f>
        <v/>
      </c>
      <c r="J164" s="5"/>
      <c r="K164" s="6"/>
    </row>
    <row r="165" spans="1:11">
      <c r="A165" s="9"/>
      <c r="B165" s="10" t="str">
        <f>IF(A165="","",YEAR(A165)&amp;"/"&amp;RIGHT("0"&amp;MONTH(A165),2))</f>
        <v/>
      </c>
      <c r="C165" s="5"/>
      <c r="D165" s="11"/>
      <c r="E165" s="11"/>
      <c r="F165" s="12"/>
      <c r="G165" s="13" t="str">
        <f>IF(OR(D165="",E165=""),"",ROUND(MOD(E165-D165,1)*24-F165,2))</f>
        <v/>
      </c>
      <c r="H165" s="12"/>
      <c r="I165" s="13" t="str">
        <f>IF(H165&lt;&gt;"",H165,G165)</f>
        <v/>
      </c>
      <c r="J165" s="5"/>
      <c r="K165" s="6"/>
    </row>
    <row r="166" spans="1:11">
      <c r="A166" s="9"/>
      <c r="B166" s="10" t="str">
        <f>IF(A166="","",YEAR(A166)&amp;"/"&amp;RIGHT("0"&amp;MONTH(A166),2))</f>
        <v/>
      </c>
      <c r="C166" s="5"/>
      <c r="D166" s="11"/>
      <c r="E166" s="11"/>
      <c r="F166" s="12"/>
      <c r="G166" s="13" t="str">
        <f>IF(OR(D166="",E166=""),"",ROUND(MOD(E166-D166,1)*24-F166,2))</f>
        <v/>
      </c>
      <c r="H166" s="12"/>
      <c r="I166" s="13" t="str">
        <f>IF(H166&lt;&gt;"",H166,G166)</f>
        <v/>
      </c>
      <c r="J166" s="5"/>
      <c r="K166" s="6"/>
    </row>
    <row r="167" spans="1:11">
      <c r="A167" s="9"/>
      <c r="B167" s="10" t="str">
        <f>IF(A167="","",YEAR(A167)&amp;"/"&amp;RIGHT("0"&amp;MONTH(A167),2))</f>
        <v/>
      </c>
      <c r="C167" s="5"/>
      <c r="D167" s="11"/>
      <c r="E167" s="11"/>
      <c r="F167" s="12"/>
      <c r="G167" s="13" t="str">
        <f>IF(OR(D167="",E167=""),"",ROUND(MOD(E167-D167,1)*24-F167,2))</f>
        <v/>
      </c>
      <c r="H167" s="12"/>
      <c r="I167" s="13" t="str">
        <f>IF(H167&lt;&gt;"",H167,G167)</f>
        <v/>
      </c>
      <c r="J167" s="5"/>
      <c r="K167" s="6"/>
    </row>
    <row r="168" spans="1:11">
      <c r="A168" s="9"/>
      <c r="B168" s="10" t="str">
        <f>IF(A168="","",YEAR(A168)&amp;"/"&amp;RIGHT("0"&amp;MONTH(A168),2))</f>
        <v/>
      </c>
      <c r="C168" s="5"/>
      <c r="D168" s="11"/>
      <c r="E168" s="11"/>
      <c r="F168" s="12"/>
      <c r="G168" s="13" t="str">
        <f>IF(OR(D168="",E168=""),"",ROUND(MOD(E168-D168,1)*24-F168,2))</f>
        <v/>
      </c>
      <c r="H168" s="12"/>
      <c r="I168" s="13" t="str">
        <f>IF(H168&lt;&gt;"",H168,G168)</f>
        <v/>
      </c>
      <c r="J168" s="5"/>
      <c r="K168" s="6"/>
    </row>
    <row r="169" spans="1:11">
      <c r="A169" s="9"/>
      <c r="B169" s="10" t="str">
        <f>IF(A169="","",YEAR(A169)&amp;"/"&amp;RIGHT("0"&amp;MONTH(A169),2))</f>
        <v/>
      </c>
      <c r="C169" s="5"/>
      <c r="D169" s="11"/>
      <c r="E169" s="11"/>
      <c r="F169" s="12"/>
      <c r="G169" s="13" t="str">
        <f>IF(OR(D169="",E169=""),"",ROUND(MOD(E169-D169,1)*24-F169,2))</f>
        <v/>
      </c>
      <c r="H169" s="12"/>
      <c r="I169" s="13" t="str">
        <f>IF(H169&lt;&gt;"",H169,G169)</f>
        <v/>
      </c>
      <c r="J169" s="5"/>
      <c r="K169" s="6"/>
    </row>
    <row r="170" spans="1:11">
      <c r="A170" s="9"/>
      <c r="B170" s="10" t="str">
        <f>IF(A170="","",YEAR(A170)&amp;"/"&amp;RIGHT("0"&amp;MONTH(A170),2))</f>
        <v/>
      </c>
      <c r="C170" s="5"/>
      <c r="D170" s="11"/>
      <c r="E170" s="11"/>
      <c r="F170" s="12"/>
      <c r="G170" s="13" t="str">
        <f>IF(OR(D170="",E170=""),"",ROUND(MOD(E170-D170,1)*24-F170,2))</f>
        <v/>
      </c>
      <c r="H170" s="12"/>
      <c r="I170" s="13" t="str">
        <f>IF(H170&lt;&gt;"",H170,G170)</f>
        <v/>
      </c>
      <c r="J170" s="5"/>
      <c r="K170" s="6"/>
    </row>
    <row r="171" spans="1:11">
      <c r="A171" s="9"/>
      <c r="B171" s="10" t="str">
        <f>IF(A171="","",YEAR(A171)&amp;"/"&amp;RIGHT("0"&amp;MONTH(A171),2))</f>
        <v/>
      </c>
      <c r="C171" s="5"/>
      <c r="D171" s="11"/>
      <c r="E171" s="11"/>
      <c r="F171" s="12"/>
      <c r="G171" s="13" t="str">
        <f>IF(OR(D171="",E171=""),"",ROUND(MOD(E171-D171,1)*24-F171,2))</f>
        <v/>
      </c>
      <c r="H171" s="12"/>
      <c r="I171" s="13" t="str">
        <f>IF(H171&lt;&gt;"",H171,G171)</f>
        <v/>
      </c>
      <c r="J171" s="5"/>
      <c r="K171" s="6"/>
    </row>
    <row r="172" spans="1:11">
      <c r="A172" s="9"/>
      <c r="B172" s="10" t="str">
        <f>IF(A172="","",YEAR(A172)&amp;"/"&amp;RIGHT("0"&amp;MONTH(A172),2))</f>
        <v/>
      </c>
      <c r="C172" s="5"/>
      <c r="D172" s="11"/>
      <c r="E172" s="11"/>
      <c r="F172" s="12"/>
      <c r="G172" s="13" t="str">
        <f>IF(OR(D172="",E172=""),"",ROUND(MOD(E172-D172,1)*24-F172,2))</f>
        <v/>
      </c>
      <c r="H172" s="12"/>
      <c r="I172" s="13" t="str">
        <f>IF(H172&lt;&gt;"",H172,G172)</f>
        <v/>
      </c>
      <c r="J172" s="5"/>
      <c r="K172" s="6"/>
    </row>
    <row r="173" spans="1:11">
      <c r="A173" s="9"/>
      <c r="B173" s="10" t="str">
        <f>IF(A173="","",YEAR(A173)&amp;"/"&amp;RIGHT("0"&amp;MONTH(A173),2))</f>
        <v/>
      </c>
      <c r="C173" s="5"/>
      <c r="D173" s="11"/>
      <c r="E173" s="11"/>
      <c r="F173" s="12"/>
      <c r="G173" s="13" t="str">
        <f>IF(OR(D173="",E173=""),"",ROUND(MOD(E173-D173,1)*24-F173,2))</f>
        <v/>
      </c>
      <c r="H173" s="12"/>
      <c r="I173" s="13" t="str">
        <f>IF(H173&lt;&gt;"",H173,G173)</f>
        <v/>
      </c>
      <c r="J173" s="5"/>
      <c r="K173" s="6"/>
    </row>
    <row r="174" spans="1:11">
      <c r="A174" s="9"/>
      <c r="B174" s="10" t="str">
        <f>IF(A174="","",YEAR(A174)&amp;"/"&amp;RIGHT("0"&amp;MONTH(A174),2))</f>
        <v/>
      </c>
      <c r="C174" s="5"/>
      <c r="D174" s="11"/>
      <c r="E174" s="11"/>
      <c r="F174" s="12"/>
      <c r="G174" s="13" t="str">
        <f>IF(OR(D174="",E174=""),"",ROUND(MOD(E174-D174,1)*24-F174,2))</f>
        <v/>
      </c>
      <c r="H174" s="12"/>
      <c r="I174" s="13" t="str">
        <f>IF(H174&lt;&gt;"",H174,G174)</f>
        <v/>
      </c>
      <c r="J174" s="5"/>
      <c r="K174" s="6"/>
    </row>
    <row r="175" spans="1:11">
      <c r="A175" s="9"/>
      <c r="B175" s="10" t="str">
        <f>IF(A175="","",YEAR(A175)&amp;"/"&amp;RIGHT("0"&amp;MONTH(A175),2))</f>
        <v/>
      </c>
      <c r="C175" s="5"/>
      <c r="D175" s="11"/>
      <c r="E175" s="11"/>
      <c r="F175" s="12"/>
      <c r="G175" s="13" t="str">
        <f>IF(OR(D175="",E175=""),"",ROUND(MOD(E175-D175,1)*24-F175,2))</f>
        <v/>
      </c>
      <c r="H175" s="12"/>
      <c r="I175" s="13" t="str">
        <f>IF(H175&lt;&gt;"",H175,G175)</f>
        <v/>
      </c>
      <c r="J175" s="5"/>
      <c r="K175" s="6"/>
    </row>
    <row r="176" spans="1:11">
      <c r="A176" s="9"/>
      <c r="B176" s="10" t="str">
        <f>IF(A176="","",YEAR(A176)&amp;"/"&amp;RIGHT("0"&amp;MONTH(A176),2))</f>
        <v/>
      </c>
      <c r="C176" s="5"/>
      <c r="D176" s="11"/>
      <c r="E176" s="11"/>
      <c r="F176" s="12"/>
      <c r="G176" s="13" t="str">
        <f>IF(OR(D176="",E176=""),"",ROUND(MOD(E176-D176,1)*24-F176,2))</f>
        <v/>
      </c>
      <c r="H176" s="12"/>
      <c r="I176" s="13" t="str">
        <f>IF(H176&lt;&gt;"",H176,G176)</f>
        <v/>
      </c>
      <c r="J176" s="5"/>
      <c r="K176" s="6"/>
    </row>
    <row r="177" spans="1:11">
      <c r="A177" s="9"/>
      <c r="B177" s="10" t="str">
        <f>IF(A177="","",YEAR(A177)&amp;"/"&amp;RIGHT("0"&amp;MONTH(A177),2))</f>
        <v/>
      </c>
      <c r="C177" s="5"/>
      <c r="D177" s="11"/>
      <c r="E177" s="11"/>
      <c r="F177" s="12"/>
      <c r="G177" s="13" t="str">
        <f>IF(OR(D177="",E177=""),"",ROUND(MOD(E177-D177,1)*24-F177,2))</f>
        <v/>
      </c>
      <c r="H177" s="12"/>
      <c r="I177" s="13" t="str">
        <f>IF(H177&lt;&gt;"",H177,G177)</f>
        <v/>
      </c>
      <c r="J177" s="5"/>
      <c r="K177" s="6"/>
    </row>
    <row r="178" spans="1:11">
      <c r="A178" s="9"/>
      <c r="B178" s="10" t="str">
        <f>IF(A178="","",YEAR(A178)&amp;"/"&amp;RIGHT("0"&amp;MONTH(A178),2))</f>
        <v/>
      </c>
      <c r="C178" s="5"/>
      <c r="D178" s="11"/>
      <c r="E178" s="11"/>
      <c r="F178" s="12"/>
      <c r="G178" s="13" t="str">
        <f>IF(OR(D178="",E178=""),"",ROUND(MOD(E178-D178,1)*24-F178,2))</f>
        <v/>
      </c>
      <c r="H178" s="12"/>
      <c r="I178" s="13" t="str">
        <f>IF(H178&lt;&gt;"",H178,G178)</f>
        <v/>
      </c>
      <c r="J178" s="5"/>
      <c r="K178" s="6"/>
    </row>
    <row r="179" spans="1:11">
      <c r="A179" s="9"/>
      <c r="B179" s="10" t="str">
        <f>IF(A179="","",YEAR(A179)&amp;"/"&amp;RIGHT("0"&amp;MONTH(A179),2))</f>
        <v/>
      </c>
      <c r="C179" s="5"/>
      <c r="D179" s="11"/>
      <c r="E179" s="11"/>
      <c r="F179" s="12"/>
      <c r="G179" s="13" t="str">
        <f>IF(OR(D179="",E179=""),"",ROUND(MOD(E179-D179,1)*24-F179,2))</f>
        <v/>
      </c>
      <c r="H179" s="12"/>
      <c r="I179" s="13" t="str">
        <f>IF(H179&lt;&gt;"",H179,G179)</f>
        <v/>
      </c>
      <c r="J179" s="5"/>
      <c r="K179" s="6"/>
    </row>
    <row r="180" spans="1:11">
      <c r="A180" s="9"/>
      <c r="B180" s="10" t="str">
        <f>IF(A180="","",YEAR(A180)&amp;"/"&amp;RIGHT("0"&amp;MONTH(A180),2))</f>
        <v/>
      </c>
      <c r="C180" s="5"/>
      <c r="D180" s="11"/>
      <c r="E180" s="11"/>
      <c r="F180" s="12"/>
      <c r="G180" s="13" t="str">
        <f>IF(OR(D180="",E180=""),"",ROUND(MOD(E180-D180,1)*24-F180,2))</f>
        <v/>
      </c>
      <c r="H180" s="12"/>
      <c r="I180" s="13" t="str">
        <f>IF(H180&lt;&gt;"",H180,G180)</f>
        <v/>
      </c>
      <c r="J180" s="5"/>
      <c r="K180" s="6"/>
    </row>
    <row r="181" spans="1:11">
      <c r="A181" s="9"/>
      <c r="B181" s="10" t="str">
        <f>IF(A181="","",YEAR(A181)&amp;"/"&amp;RIGHT("0"&amp;MONTH(A181),2))</f>
        <v/>
      </c>
      <c r="C181" s="5"/>
      <c r="D181" s="11"/>
      <c r="E181" s="11"/>
      <c r="F181" s="12"/>
      <c r="G181" s="13" t="str">
        <f>IF(OR(D181="",E181=""),"",ROUND(MOD(E181-D181,1)*24-F181,2))</f>
        <v/>
      </c>
      <c r="H181" s="12"/>
      <c r="I181" s="13" t="str">
        <f>IF(H181&lt;&gt;"",H181,G181)</f>
        <v/>
      </c>
      <c r="J181" s="5"/>
      <c r="K181" s="6"/>
    </row>
    <row r="182" spans="1:11">
      <c r="A182" s="9"/>
      <c r="B182" s="10" t="str">
        <f>IF(A182="","",YEAR(A182)&amp;"/"&amp;RIGHT("0"&amp;MONTH(A182),2))</f>
        <v/>
      </c>
      <c r="C182" s="5"/>
      <c r="D182" s="11"/>
      <c r="E182" s="11"/>
      <c r="F182" s="12"/>
      <c r="G182" s="13" t="str">
        <f>IF(OR(D182="",E182=""),"",ROUND(MOD(E182-D182,1)*24-F182,2))</f>
        <v/>
      </c>
      <c r="H182" s="12"/>
      <c r="I182" s="13" t="str">
        <f>IF(H182&lt;&gt;"",H182,G182)</f>
        <v/>
      </c>
      <c r="J182" s="5"/>
      <c r="K182" s="6"/>
    </row>
    <row r="183" spans="1:11">
      <c r="A183" s="9"/>
      <c r="B183" s="10" t="str">
        <f>IF(A183="","",YEAR(A183)&amp;"/"&amp;RIGHT("0"&amp;MONTH(A183),2))</f>
        <v/>
      </c>
      <c r="C183" s="5"/>
      <c r="D183" s="11"/>
      <c r="E183" s="11"/>
      <c r="F183" s="12"/>
      <c r="G183" s="13" t="str">
        <f>IF(OR(D183="",E183=""),"",ROUND(MOD(E183-D183,1)*24-F183,2))</f>
        <v/>
      </c>
      <c r="H183" s="12"/>
      <c r="I183" s="13" t="str">
        <f>IF(H183&lt;&gt;"",H183,G183)</f>
        <v/>
      </c>
      <c r="J183" s="5"/>
      <c r="K183" s="6"/>
    </row>
    <row r="184" spans="1:11">
      <c r="A184" s="9"/>
      <c r="B184" s="10" t="str">
        <f>IF(A184="","",YEAR(A184)&amp;"/"&amp;RIGHT("0"&amp;MONTH(A184),2))</f>
        <v/>
      </c>
      <c r="C184" s="5"/>
      <c r="D184" s="11"/>
      <c r="E184" s="11"/>
      <c r="F184" s="12"/>
      <c r="G184" s="13" t="str">
        <f>IF(OR(D184="",E184=""),"",ROUND(MOD(E184-D184,1)*24-F184,2))</f>
        <v/>
      </c>
      <c r="H184" s="12"/>
      <c r="I184" s="13" t="str">
        <f>IF(H184&lt;&gt;"",H184,G184)</f>
        <v/>
      </c>
      <c r="J184" s="5"/>
      <c r="K184" s="6"/>
    </row>
    <row r="185" spans="1:11">
      <c r="A185" s="9"/>
      <c r="B185" s="10" t="str">
        <f>IF(A185="","",YEAR(A185)&amp;"/"&amp;RIGHT("0"&amp;MONTH(A185),2))</f>
        <v/>
      </c>
      <c r="C185" s="5"/>
      <c r="D185" s="11"/>
      <c r="E185" s="11"/>
      <c r="F185" s="12"/>
      <c r="G185" s="13" t="str">
        <f>IF(OR(D185="",E185=""),"",ROUND(MOD(E185-D185,1)*24-F185,2))</f>
        <v/>
      </c>
      <c r="H185" s="12"/>
      <c r="I185" s="13" t="str">
        <f>IF(H185&lt;&gt;"",H185,G185)</f>
        <v/>
      </c>
      <c r="J185" s="5"/>
      <c r="K185" s="6"/>
    </row>
    <row r="186" spans="1:11">
      <c r="A186" s="9"/>
      <c r="B186" s="10" t="str">
        <f>IF(A186="","",YEAR(A186)&amp;"/"&amp;RIGHT("0"&amp;MONTH(A186),2))</f>
        <v/>
      </c>
      <c r="C186" s="5"/>
      <c r="D186" s="11"/>
      <c r="E186" s="11"/>
      <c r="F186" s="12"/>
      <c r="G186" s="13" t="str">
        <f>IF(OR(D186="",E186=""),"",ROUND(MOD(E186-D186,1)*24-F186,2))</f>
        <v/>
      </c>
      <c r="H186" s="12"/>
      <c r="I186" s="13" t="str">
        <f>IF(H186&lt;&gt;"",H186,G186)</f>
        <v/>
      </c>
      <c r="J186" s="5"/>
      <c r="K186" s="6"/>
    </row>
    <row r="187" spans="1:11">
      <c r="A187" s="9"/>
      <c r="B187" s="10" t="str">
        <f>IF(A187="","",YEAR(A187)&amp;"/"&amp;RIGHT("0"&amp;MONTH(A187),2))</f>
        <v/>
      </c>
      <c r="C187" s="5"/>
      <c r="D187" s="11"/>
      <c r="E187" s="11"/>
      <c r="F187" s="12"/>
      <c r="G187" s="13" t="str">
        <f>IF(OR(D187="",E187=""),"",ROUND(MOD(E187-D187,1)*24-F187,2))</f>
        <v/>
      </c>
      <c r="H187" s="12"/>
      <c r="I187" s="13" t="str">
        <f>IF(H187&lt;&gt;"",H187,G187)</f>
        <v/>
      </c>
      <c r="J187" s="5"/>
      <c r="K187" s="6"/>
    </row>
    <row r="188" spans="1:11">
      <c r="A188" s="9"/>
      <c r="B188" s="10" t="str">
        <f>IF(A188="","",YEAR(A188)&amp;"/"&amp;RIGHT("0"&amp;MONTH(A188),2))</f>
        <v/>
      </c>
      <c r="C188" s="5"/>
      <c r="D188" s="11"/>
      <c r="E188" s="11"/>
      <c r="F188" s="12"/>
      <c r="G188" s="13" t="str">
        <f>IF(OR(D188="",E188=""),"",ROUND(MOD(E188-D188,1)*24-F188,2))</f>
        <v/>
      </c>
      <c r="H188" s="12"/>
      <c r="I188" s="13" t="str">
        <f>IF(H188&lt;&gt;"",H188,G188)</f>
        <v/>
      </c>
      <c r="J188" s="5"/>
      <c r="K188" s="6"/>
    </row>
    <row r="189" spans="1:11">
      <c r="A189" s="9"/>
      <c r="B189" s="10" t="str">
        <f>IF(A189="","",YEAR(A189)&amp;"/"&amp;RIGHT("0"&amp;MONTH(A189),2))</f>
        <v/>
      </c>
      <c r="C189" s="5"/>
      <c r="D189" s="11"/>
      <c r="E189" s="11"/>
      <c r="F189" s="12"/>
      <c r="G189" s="13" t="str">
        <f>IF(OR(D189="",E189=""),"",ROUND(MOD(E189-D189,1)*24-F189,2))</f>
        <v/>
      </c>
      <c r="H189" s="12"/>
      <c r="I189" s="13" t="str">
        <f>IF(H189&lt;&gt;"",H189,G189)</f>
        <v/>
      </c>
      <c r="J189" s="5"/>
      <c r="K189" s="6"/>
    </row>
    <row r="190" spans="1:11">
      <c r="A190" s="9"/>
      <c r="B190" s="10" t="str">
        <f>IF(A190="","",YEAR(A190)&amp;"/"&amp;RIGHT("0"&amp;MONTH(A190),2))</f>
        <v/>
      </c>
      <c r="C190" s="5"/>
      <c r="D190" s="11"/>
      <c r="E190" s="11"/>
      <c r="F190" s="12"/>
      <c r="G190" s="13" t="str">
        <f>IF(OR(D190="",E190=""),"",ROUND(MOD(E190-D190,1)*24-F190,2))</f>
        <v/>
      </c>
      <c r="H190" s="12"/>
      <c r="I190" s="13" t="str">
        <f>IF(H190&lt;&gt;"",H190,G190)</f>
        <v/>
      </c>
      <c r="J190" s="5"/>
      <c r="K190" s="6"/>
    </row>
    <row r="191" spans="1:11">
      <c r="A191" s="9"/>
      <c r="B191" s="10" t="str">
        <f>IF(A191="","",YEAR(A191)&amp;"/"&amp;RIGHT("0"&amp;MONTH(A191),2))</f>
        <v/>
      </c>
      <c r="C191" s="5"/>
      <c r="D191" s="11"/>
      <c r="E191" s="11"/>
      <c r="F191" s="12"/>
      <c r="G191" s="13" t="str">
        <f>IF(OR(D191="",E191=""),"",ROUND(MOD(E191-D191,1)*24-F191,2))</f>
        <v/>
      </c>
      <c r="H191" s="12"/>
      <c r="I191" s="13" t="str">
        <f>IF(H191&lt;&gt;"",H191,G191)</f>
        <v/>
      </c>
      <c r="J191" s="5"/>
      <c r="K191" s="6"/>
    </row>
    <row r="192" spans="1:11">
      <c r="A192" s="9"/>
      <c r="B192" s="10" t="str">
        <f>IF(A192="","",YEAR(A192)&amp;"/"&amp;RIGHT("0"&amp;MONTH(A192),2))</f>
        <v/>
      </c>
      <c r="C192" s="5"/>
      <c r="D192" s="11"/>
      <c r="E192" s="11"/>
      <c r="F192" s="12"/>
      <c r="G192" s="13" t="str">
        <f>IF(OR(D192="",E192=""),"",ROUND(MOD(E192-D192,1)*24-F192,2))</f>
        <v/>
      </c>
      <c r="H192" s="12"/>
      <c r="I192" s="13" t="str">
        <f>IF(H192&lt;&gt;"",H192,G192)</f>
        <v/>
      </c>
      <c r="J192" s="5"/>
      <c r="K192" s="6"/>
    </row>
    <row r="193" spans="1:11">
      <c r="A193" s="9"/>
      <c r="B193" s="10" t="str">
        <f>IF(A193="","",YEAR(A193)&amp;"/"&amp;RIGHT("0"&amp;MONTH(A193),2))</f>
        <v/>
      </c>
      <c r="C193" s="5"/>
      <c r="D193" s="11"/>
      <c r="E193" s="11"/>
      <c r="F193" s="12"/>
      <c r="G193" s="13" t="str">
        <f>IF(OR(D193="",E193=""),"",ROUND(MOD(E193-D193,1)*24-F193,2))</f>
        <v/>
      </c>
      <c r="H193" s="12"/>
      <c r="I193" s="13" t="str">
        <f>IF(H193&lt;&gt;"",H193,G193)</f>
        <v/>
      </c>
      <c r="J193" s="5"/>
      <c r="K193" s="6"/>
    </row>
    <row r="194" spans="1:11">
      <c r="A194" s="9"/>
      <c r="B194" s="10" t="str">
        <f>IF(A194="","",YEAR(A194)&amp;"/"&amp;RIGHT("0"&amp;MONTH(A194),2))</f>
        <v/>
      </c>
      <c r="C194" s="5"/>
      <c r="D194" s="11"/>
      <c r="E194" s="11"/>
      <c r="F194" s="12"/>
      <c r="G194" s="13" t="str">
        <f>IF(OR(D194="",E194=""),"",ROUND(MOD(E194-D194,1)*24-F194,2))</f>
        <v/>
      </c>
      <c r="H194" s="12"/>
      <c r="I194" s="13" t="str">
        <f>IF(H194&lt;&gt;"",H194,G194)</f>
        <v/>
      </c>
      <c r="J194" s="5"/>
      <c r="K194" s="6"/>
    </row>
    <row r="195" spans="1:11">
      <c r="A195" s="9"/>
      <c r="B195" s="10" t="str">
        <f>IF(A195="","",YEAR(A195)&amp;"/"&amp;RIGHT("0"&amp;MONTH(A195),2))</f>
        <v/>
      </c>
      <c r="C195" s="5"/>
      <c r="D195" s="11"/>
      <c r="E195" s="11"/>
      <c r="F195" s="12"/>
      <c r="G195" s="13" t="str">
        <f>IF(OR(D195="",E195=""),"",ROUND(MOD(E195-D195,1)*24-F195,2))</f>
        <v/>
      </c>
      <c r="H195" s="12"/>
      <c r="I195" s="13" t="str">
        <f>IF(H195&lt;&gt;"",H195,G195)</f>
        <v/>
      </c>
      <c r="J195" s="5"/>
      <c r="K195" s="6"/>
    </row>
    <row r="196" spans="1:11">
      <c r="A196" s="9"/>
      <c r="B196" s="10" t="str">
        <f>IF(A196="","",YEAR(A196)&amp;"/"&amp;RIGHT("0"&amp;MONTH(A196),2))</f>
        <v/>
      </c>
      <c r="C196" s="5"/>
      <c r="D196" s="11"/>
      <c r="E196" s="11"/>
      <c r="F196" s="12"/>
      <c r="G196" s="13" t="str">
        <f>IF(OR(D196="",E196=""),"",ROUND(MOD(E196-D196,1)*24-F196,2))</f>
        <v/>
      </c>
      <c r="H196" s="12"/>
      <c r="I196" s="13" t="str">
        <f>IF(H196&lt;&gt;"",H196,G196)</f>
        <v/>
      </c>
      <c r="J196" s="5"/>
      <c r="K196" s="6"/>
    </row>
    <row r="197" spans="1:11">
      <c r="A197" s="9"/>
      <c r="B197" s="10" t="str">
        <f>IF(A197="","",YEAR(A197)&amp;"/"&amp;RIGHT("0"&amp;MONTH(A197),2))</f>
        <v/>
      </c>
      <c r="C197" s="5"/>
      <c r="D197" s="11"/>
      <c r="E197" s="11"/>
      <c r="F197" s="12"/>
      <c r="G197" s="13" t="str">
        <f>IF(OR(D197="",E197=""),"",ROUND(MOD(E197-D197,1)*24-F197,2))</f>
        <v/>
      </c>
      <c r="H197" s="12"/>
      <c r="I197" s="13" t="str">
        <f>IF(H197&lt;&gt;"",H197,G197)</f>
        <v/>
      </c>
      <c r="J197" s="5"/>
      <c r="K197" s="6"/>
    </row>
    <row r="198" spans="1:11">
      <c r="A198" s="9"/>
      <c r="B198" s="10" t="str">
        <f>IF(A198="","",YEAR(A198)&amp;"/"&amp;RIGHT("0"&amp;MONTH(A198),2))</f>
        <v/>
      </c>
      <c r="C198" s="5"/>
      <c r="D198" s="11"/>
      <c r="E198" s="11"/>
      <c r="F198" s="12"/>
      <c r="G198" s="13" t="str">
        <f>IF(OR(D198="",E198=""),"",ROUND(MOD(E198-D198,1)*24-F198,2))</f>
        <v/>
      </c>
      <c r="H198" s="12"/>
      <c r="I198" s="13" t="str">
        <f>IF(H198&lt;&gt;"",H198,G198)</f>
        <v/>
      </c>
      <c r="J198" s="5"/>
      <c r="K198" s="6"/>
    </row>
    <row r="199" spans="1:11">
      <c r="A199" s="9"/>
      <c r="B199" s="10" t="str">
        <f>IF(A199="","",YEAR(A199)&amp;"/"&amp;RIGHT("0"&amp;MONTH(A199),2))</f>
        <v/>
      </c>
      <c r="C199" s="5"/>
      <c r="D199" s="11"/>
      <c r="E199" s="11"/>
      <c r="F199" s="12"/>
      <c r="G199" s="13" t="str">
        <f>IF(OR(D199="",E199=""),"",ROUND(MOD(E199-D199,1)*24-F199,2))</f>
        <v/>
      </c>
      <c r="H199" s="12"/>
      <c r="I199" s="13" t="str">
        <f>IF(H199&lt;&gt;"",H199,G199)</f>
        <v/>
      </c>
      <c r="J199" s="5"/>
      <c r="K199" s="6"/>
    </row>
    <row r="200" spans="1:11">
      <c r="A200" s="9"/>
      <c r="B200" s="10" t="str">
        <f>IF(A200="","",YEAR(A200)&amp;"/"&amp;RIGHT("0"&amp;MONTH(A200),2))</f>
        <v/>
      </c>
      <c r="C200" s="5"/>
      <c r="D200" s="11"/>
      <c r="E200" s="11"/>
      <c r="F200" s="12"/>
      <c r="G200" s="13" t="str">
        <f>IF(OR(D200="",E200=""),"",ROUND(MOD(E200-D200,1)*24-F200,2))</f>
        <v/>
      </c>
      <c r="H200" s="12"/>
      <c r="I200" s="13" t="str">
        <f>IF(H200&lt;&gt;"",H200,G200)</f>
        <v/>
      </c>
      <c r="J200" s="5"/>
      <c r="K200" s="6"/>
    </row>
    <row r="201" spans="1:11">
      <c r="A201" s="9"/>
      <c r="B201" s="10" t="str">
        <f>IF(A201="","",YEAR(A201)&amp;"/"&amp;RIGHT("0"&amp;MONTH(A201),2))</f>
        <v/>
      </c>
      <c r="C201" s="5"/>
      <c r="D201" s="11"/>
      <c r="E201" s="11"/>
      <c r="F201" s="12"/>
      <c r="G201" s="13" t="str">
        <f>IF(OR(D201="",E201=""),"",ROUND(MOD(E201-D201,1)*24-F201,2))</f>
        <v/>
      </c>
      <c r="H201" s="12"/>
      <c r="I201" s="13" t="str">
        <f>IF(H201&lt;&gt;"",H201,G201)</f>
        <v/>
      </c>
      <c r="J201" s="5"/>
      <c r="K201" s="6"/>
    </row>
    <row r="202" spans="1:11">
      <c r="A202" s="9"/>
      <c r="B202" s="10" t="str">
        <f>IF(A202="","",YEAR(A202)&amp;"/"&amp;RIGHT("0"&amp;MONTH(A202),2))</f>
        <v/>
      </c>
      <c r="C202" s="5"/>
      <c r="D202" s="11"/>
      <c r="E202" s="11"/>
      <c r="F202" s="12"/>
      <c r="G202" s="13" t="str">
        <f>IF(OR(D202="",E202=""),"",ROUND(MOD(E202-D202,1)*24-F202,2))</f>
        <v/>
      </c>
      <c r="H202" s="12"/>
      <c r="I202" s="13" t="str">
        <f>IF(H202&lt;&gt;"",H202,G202)</f>
        <v/>
      </c>
      <c r="J202" s="5"/>
      <c r="K202" s="6"/>
    </row>
    <row r="203" spans="1:11">
      <c r="A203" s="9"/>
      <c r="B203" s="10" t="str">
        <f>IF(A203="","",YEAR(A203)&amp;"/"&amp;RIGHT("0"&amp;MONTH(A203),2))</f>
        <v/>
      </c>
      <c r="C203" s="5"/>
      <c r="D203" s="11"/>
      <c r="E203" s="11"/>
      <c r="F203" s="12"/>
      <c r="G203" s="13" t="str">
        <f>IF(OR(D203="",E203=""),"",ROUND(MOD(E203-D203,1)*24-F203,2))</f>
        <v/>
      </c>
      <c r="H203" s="12"/>
      <c r="I203" s="13" t="str">
        <f>IF(H203&lt;&gt;"",H203,G203)</f>
        <v/>
      </c>
      <c r="J203" s="5"/>
      <c r="K203" s="6"/>
    </row>
    <row r="204" spans="1:11">
      <c r="A204" s="9"/>
      <c r="B204" s="10" t="str">
        <f>IF(A204="","",YEAR(A204)&amp;"/"&amp;RIGHT("0"&amp;MONTH(A204),2))</f>
        <v/>
      </c>
      <c r="C204" s="5"/>
      <c r="D204" s="11"/>
      <c r="E204" s="11"/>
      <c r="F204" s="12"/>
      <c r="G204" s="13" t="str">
        <f>IF(OR(D204="",E204=""),"",ROUND(MOD(E204-D204,1)*24-F204,2))</f>
        <v/>
      </c>
      <c r="H204" s="12"/>
      <c r="I204" s="13" t="str">
        <f>IF(H204&lt;&gt;"",H204,G204)</f>
        <v/>
      </c>
      <c r="J204" s="5"/>
      <c r="K204" s="6"/>
    </row>
    <row r="205" spans="1:11">
      <c r="A205" s="9"/>
      <c r="B205" s="10" t="str">
        <f>IF(A205="","",YEAR(A205)&amp;"/"&amp;RIGHT("0"&amp;MONTH(A205),2))</f>
        <v/>
      </c>
      <c r="C205" s="5"/>
      <c r="D205" s="11"/>
      <c r="E205" s="11"/>
      <c r="F205" s="12"/>
      <c r="G205" s="13" t="str">
        <f>IF(OR(D205="",E205=""),"",ROUND(MOD(E205-D205,1)*24-F205,2))</f>
        <v/>
      </c>
      <c r="H205" s="12"/>
      <c r="I205" s="13" t="str">
        <f>IF(H205&lt;&gt;"",H205,G205)</f>
        <v/>
      </c>
      <c r="J205" s="5"/>
      <c r="K205" s="6"/>
    </row>
    <row r="206" spans="1:11">
      <c r="A206" s="9"/>
      <c r="B206" s="10" t="str">
        <f>IF(A206="","",YEAR(A206)&amp;"/"&amp;RIGHT("0"&amp;MONTH(A206),2))</f>
        <v/>
      </c>
      <c r="C206" s="5"/>
      <c r="D206" s="11"/>
      <c r="E206" s="11"/>
      <c r="F206" s="12"/>
      <c r="G206" s="13" t="str">
        <f>IF(OR(D206="",E206=""),"",ROUND(MOD(E206-D206,1)*24-F206,2))</f>
        <v/>
      </c>
      <c r="H206" s="12"/>
      <c r="I206" s="13" t="str">
        <f>IF(H206&lt;&gt;"",H206,G206)</f>
        <v/>
      </c>
      <c r="J206" s="5"/>
      <c r="K206" s="6"/>
    </row>
    <row r="207" spans="1:11">
      <c r="A207" s="9"/>
      <c r="B207" s="10" t="str">
        <f>IF(A207="","",YEAR(A207)&amp;"/"&amp;RIGHT("0"&amp;MONTH(A207),2))</f>
        <v/>
      </c>
      <c r="C207" s="5"/>
      <c r="D207" s="11"/>
      <c r="E207" s="11"/>
      <c r="F207" s="12"/>
      <c r="G207" s="13" t="str">
        <f>IF(OR(D207="",E207=""),"",ROUND(MOD(E207-D207,1)*24-F207,2))</f>
        <v/>
      </c>
      <c r="H207" s="12"/>
      <c r="I207" s="13" t="str">
        <f>IF(H207&lt;&gt;"",H207,G207)</f>
        <v/>
      </c>
      <c r="J207" s="5"/>
      <c r="K207" s="6"/>
    </row>
    <row r="208" spans="1:11">
      <c r="A208" s="9"/>
      <c r="B208" s="10" t="str">
        <f>IF(A208="","",YEAR(A208)&amp;"/"&amp;RIGHT("0"&amp;MONTH(A208),2))</f>
        <v/>
      </c>
      <c r="C208" s="5"/>
      <c r="D208" s="11"/>
      <c r="E208" s="11"/>
      <c r="F208" s="12"/>
      <c r="G208" s="13" t="str">
        <f>IF(OR(D208="",E208=""),"",ROUND(MOD(E208-D208,1)*24-F208,2))</f>
        <v/>
      </c>
      <c r="H208" s="12"/>
      <c r="I208" s="13" t="str">
        <f>IF(H208&lt;&gt;"",H208,G208)</f>
        <v/>
      </c>
      <c r="J208" s="5"/>
      <c r="K208" s="6"/>
    </row>
    <row r="209" spans="1:11">
      <c r="A209" s="9"/>
      <c r="B209" s="10" t="str">
        <f>IF(A209="","",YEAR(A209)&amp;"/"&amp;RIGHT("0"&amp;MONTH(A209),2))</f>
        <v/>
      </c>
      <c r="C209" s="5"/>
      <c r="D209" s="11"/>
      <c r="E209" s="11"/>
      <c r="F209" s="12"/>
      <c r="G209" s="13" t="str">
        <f>IF(OR(D209="",E209=""),"",ROUND(MOD(E209-D209,1)*24-F209,2))</f>
        <v/>
      </c>
      <c r="H209" s="12"/>
      <c r="I209" s="13" t="str">
        <f>IF(H209&lt;&gt;"",H209,G209)</f>
        <v/>
      </c>
      <c r="J209" s="5"/>
      <c r="K209" s="6"/>
    </row>
    <row r="210" spans="1:11">
      <c r="A210" s="9"/>
      <c r="B210" s="10" t="str">
        <f>IF(A210="","",YEAR(A210)&amp;"/"&amp;RIGHT("0"&amp;MONTH(A210),2))</f>
        <v/>
      </c>
      <c r="C210" s="5"/>
      <c r="D210" s="11"/>
      <c r="E210" s="11"/>
      <c r="F210" s="12"/>
      <c r="G210" s="13" t="str">
        <f>IF(OR(D210="",E210=""),"",ROUND(MOD(E210-D210,1)*24-F210,2))</f>
        <v/>
      </c>
      <c r="H210" s="12"/>
      <c r="I210" s="13" t="str">
        <f>IF(H210&lt;&gt;"",H210,G210)</f>
        <v/>
      </c>
      <c r="J210" s="5"/>
      <c r="K210" s="6"/>
    </row>
    <row r="211" spans="1:11">
      <c r="A211" s="9"/>
      <c r="B211" s="10" t="str">
        <f>IF(A211="","",YEAR(A211)&amp;"/"&amp;RIGHT("0"&amp;MONTH(A211),2))</f>
        <v/>
      </c>
      <c r="C211" s="5"/>
      <c r="D211" s="11"/>
      <c r="E211" s="11"/>
      <c r="F211" s="12"/>
      <c r="G211" s="13" t="str">
        <f>IF(OR(D211="",E211=""),"",ROUND(MOD(E211-D211,1)*24-F211,2))</f>
        <v/>
      </c>
      <c r="H211" s="12"/>
      <c r="I211" s="13" t="str">
        <f>IF(H211&lt;&gt;"",H211,G211)</f>
        <v/>
      </c>
      <c r="J211" s="5"/>
      <c r="K211" s="6"/>
    </row>
    <row r="212" spans="1:11">
      <c r="A212" s="9"/>
      <c r="B212" s="10" t="str">
        <f>IF(A212="","",YEAR(A212)&amp;"/"&amp;RIGHT("0"&amp;MONTH(A212),2))</f>
        <v/>
      </c>
      <c r="C212" s="5"/>
      <c r="D212" s="11"/>
      <c r="E212" s="11"/>
      <c r="F212" s="12"/>
      <c r="G212" s="13" t="str">
        <f>IF(OR(D212="",E212=""),"",ROUND(MOD(E212-D212,1)*24-F212,2))</f>
        <v/>
      </c>
      <c r="H212" s="12"/>
      <c r="I212" s="13" t="str">
        <f>IF(H212&lt;&gt;"",H212,G212)</f>
        <v/>
      </c>
      <c r="J212" s="5"/>
      <c r="K212" s="6"/>
    </row>
    <row r="213" spans="1:11">
      <c r="A213" s="9"/>
      <c r="B213" s="10" t="str">
        <f>IF(A213="","",YEAR(A213)&amp;"/"&amp;RIGHT("0"&amp;MONTH(A213),2))</f>
        <v/>
      </c>
      <c r="C213" s="5"/>
      <c r="D213" s="11"/>
      <c r="E213" s="11"/>
      <c r="F213" s="12"/>
      <c r="G213" s="13" t="str">
        <f>IF(OR(D213="",E213=""),"",ROUND(MOD(E213-D213,1)*24-F213,2))</f>
        <v/>
      </c>
      <c r="H213" s="12"/>
      <c r="I213" s="13" t="str">
        <f>IF(H213&lt;&gt;"",H213,G213)</f>
        <v/>
      </c>
      <c r="J213" s="5"/>
      <c r="K213" s="6"/>
    </row>
    <row r="214" spans="1:11">
      <c r="A214" s="9"/>
      <c r="B214" s="10" t="str">
        <f>IF(A214="","",YEAR(A214)&amp;"/"&amp;RIGHT("0"&amp;MONTH(A214),2))</f>
        <v/>
      </c>
      <c r="C214" s="5"/>
      <c r="D214" s="11"/>
      <c r="E214" s="11"/>
      <c r="F214" s="12"/>
      <c r="G214" s="13" t="str">
        <f>IF(OR(D214="",E214=""),"",ROUND(MOD(E214-D214,1)*24-F214,2))</f>
        <v/>
      </c>
      <c r="H214" s="12"/>
      <c r="I214" s="13" t="str">
        <f>IF(H214&lt;&gt;"",H214,G214)</f>
        <v/>
      </c>
      <c r="J214" s="5"/>
      <c r="K214" s="6"/>
    </row>
    <row r="215" spans="1:11">
      <c r="A215" s="9"/>
      <c r="B215" s="10" t="str">
        <f>IF(A215="","",YEAR(A215)&amp;"/"&amp;RIGHT("0"&amp;MONTH(A215),2))</f>
        <v/>
      </c>
      <c r="C215" s="5"/>
      <c r="D215" s="11"/>
      <c r="E215" s="11"/>
      <c r="F215" s="12"/>
      <c r="G215" s="13" t="str">
        <f>IF(OR(D215="",E215=""),"",ROUND(MOD(E215-D215,1)*24-F215,2))</f>
        <v/>
      </c>
      <c r="H215" s="12"/>
      <c r="I215" s="13" t="str">
        <f>IF(H215&lt;&gt;"",H215,G215)</f>
        <v/>
      </c>
      <c r="J215" s="5"/>
      <c r="K215" s="6"/>
    </row>
    <row r="216" spans="1:11">
      <c r="A216" s="9"/>
      <c r="B216" s="10" t="str">
        <f>IF(A216="","",YEAR(A216)&amp;"/"&amp;RIGHT("0"&amp;MONTH(A216),2))</f>
        <v/>
      </c>
      <c r="C216" s="5"/>
      <c r="D216" s="11"/>
      <c r="E216" s="11"/>
      <c r="F216" s="12"/>
      <c r="G216" s="13" t="str">
        <f>IF(OR(D216="",E216=""),"",ROUND(MOD(E216-D216,1)*24-F216,2))</f>
        <v/>
      </c>
      <c r="H216" s="12"/>
      <c r="I216" s="13" t="str">
        <f>IF(H216&lt;&gt;"",H216,G216)</f>
        <v/>
      </c>
      <c r="J216" s="5"/>
      <c r="K216" s="6"/>
    </row>
    <row r="217" spans="1:11">
      <c r="A217" s="9"/>
      <c r="B217" s="10" t="str">
        <f>IF(A217="","",YEAR(A217)&amp;"/"&amp;RIGHT("0"&amp;MONTH(A217),2))</f>
        <v/>
      </c>
      <c r="C217" s="5"/>
      <c r="D217" s="11"/>
      <c r="E217" s="11"/>
      <c r="F217" s="12"/>
      <c r="G217" s="13" t="str">
        <f>IF(OR(D217="",E217=""),"",ROUND(MOD(E217-D217,1)*24-F217,2))</f>
        <v/>
      </c>
      <c r="H217" s="12"/>
      <c r="I217" s="13" t="str">
        <f>IF(H217&lt;&gt;"",H217,G217)</f>
        <v/>
      </c>
      <c r="J217" s="5"/>
      <c r="K217" s="6"/>
    </row>
    <row r="218" spans="1:11">
      <c r="A218" s="9"/>
      <c r="B218" s="10" t="str">
        <f>IF(A218="","",YEAR(A218)&amp;"/"&amp;RIGHT("0"&amp;MONTH(A218),2))</f>
        <v/>
      </c>
      <c r="C218" s="5"/>
      <c r="D218" s="11"/>
      <c r="E218" s="11"/>
      <c r="F218" s="12"/>
      <c r="G218" s="13" t="str">
        <f>IF(OR(D218="",E218=""),"",ROUND(MOD(E218-D218,1)*24-F218,2))</f>
        <v/>
      </c>
      <c r="H218" s="12"/>
      <c r="I218" s="13" t="str">
        <f>IF(H218&lt;&gt;"",H218,G218)</f>
        <v/>
      </c>
      <c r="J218" s="5"/>
      <c r="K218" s="6"/>
    </row>
    <row r="219" spans="1:11">
      <c r="A219" s="9"/>
      <c r="B219" s="10" t="str">
        <f>IF(A219="","",YEAR(A219)&amp;"/"&amp;RIGHT("0"&amp;MONTH(A219),2))</f>
        <v/>
      </c>
      <c r="C219" s="5"/>
      <c r="D219" s="11"/>
      <c r="E219" s="11"/>
      <c r="F219" s="12"/>
      <c r="G219" s="13" t="str">
        <f>IF(OR(D219="",E219=""),"",ROUND(MOD(E219-D219,1)*24-F219,2))</f>
        <v/>
      </c>
      <c r="H219" s="12"/>
      <c r="I219" s="13" t="str">
        <f>IF(H219&lt;&gt;"",H219,G219)</f>
        <v/>
      </c>
      <c r="J219" s="5"/>
      <c r="K219" s="6"/>
    </row>
    <row r="220" spans="1:11">
      <c r="A220" s="9"/>
      <c r="B220" s="10" t="str">
        <f>IF(A220="","",YEAR(A220)&amp;"/"&amp;RIGHT("0"&amp;MONTH(A220),2))</f>
        <v/>
      </c>
      <c r="C220" s="5"/>
      <c r="D220" s="11"/>
      <c r="E220" s="11"/>
      <c r="F220" s="12"/>
      <c r="G220" s="13" t="str">
        <f>IF(OR(D220="",E220=""),"",ROUND(MOD(E220-D220,1)*24-F220,2))</f>
        <v/>
      </c>
      <c r="H220" s="12"/>
      <c r="I220" s="13" t="str">
        <f>IF(H220&lt;&gt;"",H220,G220)</f>
        <v/>
      </c>
      <c r="J220" s="5"/>
      <c r="K220" s="6"/>
    </row>
    <row r="221" spans="1:11">
      <c r="A221" s="9"/>
      <c r="B221" s="10" t="str">
        <f>IF(A221="","",YEAR(A221)&amp;"/"&amp;RIGHT("0"&amp;MONTH(A221),2))</f>
        <v/>
      </c>
      <c r="C221" s="5"/>
      <c r="D221" s="11"/>
      <c r="E221" s="11"/>
      <c r="F221" s="12"/>
      <c r="G221" s="13" t="str">
        <f>IF(OR(D221="",E221=""),"",ROUND(MOD(E221-D221,1)*24-F221,2))</f>
        <v/>
      </c>
      <c r="H221" s="12"/>
      <c r="I221" s="13" t="str">
        <f>IF(H221&lt;&gt;"",H221,G221)</f>
        <v/>
      </c>
      <c r="J221" s="5"/>
      <c r="K221" s="6"/>
    </row>
    <row r="222" spans="1:11">
      <c r="A222" s="9"/>
      <c r="B222" s="10" t="str">
        <f>IF(A222="","",YEAR(A222)&amp;"/"&amp;RIGHT("0"&amp;MONTH(A222),2))</f>
        <v/>
      </c>
      <c r="C222" s="5"/>
      <c r="D222" s="11"/>
      <c r="E222" s="11"/>
      <c r="F222" s="12"/>
      <c r="G222" s="13" t="str">
        <f>IF(OR(D222="",E222=""),"",ROUND(MOD(E222-D222,1)*24-F222,2))</f>
        <v/>
      </c>
      <c r="H222" s="12"/>
      <c r="I222" s="13" t="str">
        <f>IF(H222&lt;&gt;"",H222,G222)</f>
        <v/>
      </c>
      <c r="J222" s="5"/>
      <c r="K222" s="6"/>
    </row>
    <row r="223" spans="1:11">
      <c r="A223" s="9"/>
      <c r="B223" s="10" t="str">
        <f>IF(A223="","",YEAR(A223)&amp;"/"&amp;RIGHT("0"&amp;MONTH(A223),2))</f>
        <v/>
      </c>
      <c r="C223" s="5"/>
      <c r="D223" s="11"/>
      <c r="E223" s="11"/>
      <c r="F223" s="12"/>
      <c r="G223" s="13" t="str">
        <f>IF(OR(D223="",E223=""),"",ROUND(MOD(E223-D223,1)*24-F223,2))</f>
        <v/>
      </c>
      <c r="H223" s="12"/>
      <c r="I223" s="13" t="str">
        <f>IF(H223&lt;&gt;"",H223,G223)</f>
        <v/>
      </c>
      <c r="J223" s="5"/>
      <c r="K223" s="6"/>
    </row>
    <row r="224" spans="1:11">
      <c r="A224" s="9"/>
      <c r="B224" s="10" t="str">
        <f>IF(A224="","",YEAR(A224)&amp;"/"&amp;RIGHT("0"&amp;MONTH(A224),2))</f>
        <v/>
      </c>
      <c r="C224" s="5"/>
      <c r="D224" s="11"/>
      <c r="E224" s="11"/>
      <c r="F224" s="12"/>
      <c r="G224" s="13" t="str">
        <f>IF(OR(D224="",E224=""),"",ROUND(MOD(E224-D224,1)*24-F224,2))</f>
        <v/>
      </c>
      <c r="H224" s="12"/>
      <c r="I224" s="13" t="str">
        <f>IF(H224&lt;&gt;"",H224,G224)</f>
        <v/>
      </c>
      <c r="J224" s="5"/>
      <c r="K224" s="6"/>
    </row>
    <row r="225" spans="1:11">
      <c r="A225" s="9"/>
      <c r="B225" s="10" t="str">
        <f>IF(A225="","",YEAR(A225)&amp;"/"&amp;RIGHT("0"&amp;MONTH(A225),2))</f>
        <v/>
      </c>
      <c r="C225" s="5"/>
      <c r="D225" s="11"/>
      <c r="E225" s="11"/>
      <c r="F225" s="12"/>
      <c r="G225" s="13" t="str">
        <f>IF(OR(D225="",E225=""),"",ROUND(MOD(E225-D225,1)*24-F225,2))</f>
        <v/>
      </c>
      <c r="H225" s="12"/>
      <c r="I225" s="13" t="str">
        <f>IF(H225&lt;&gt;"",H225,G225)</f>
        <v/>
      </c>
      <c r="J225" s="5"/>
      <c r="K225" s="6"/>
    </row>
    <row r="226" spans="1:11">
      <c r="A226" s="9"/>
      <c r="B226" s="10" t="str">
        <f>IF(A226="","",YEAR(A226)&amp;"/"&amp;RIGHT("0"&amp;MONTH(A226),2))</f>
        <v/>
      </c>
      <c r="C226" s="5"/>
      <c r="D226" s="11"/>
      <c r="E226" s="11"/>
      <c r="F226" s="12"/>
      <c r="G226" s="13" t="str">
        <f>IF(OR(D226="",E226=""),"",ROUND(MOD(E226-D226,1)*24-F226,2))</f>
        <v/>
      </c>
      <c r="H226" s="12"/>
      <c r="I226" s="13" t="str">
        <f>IF(H226&lt;&gt;"",H226,G226)</f>
        <v/>
      </c>
      <c r="J226" s="5"/>
      <c r="K226" s="6"/>
    </row>
    <row r="227" spans="1:11">
      <c r="A227" s="9"/>
      <c r="B227" s="10" t="str">
        <f>IF(A227="","",YEAR(A227)&amp;"/"&amp;RIGHT("0"&amp;MONTH(A227),2))</f>
        <v/>
      </c>
      <c r="C227" s="5"/>
      <c r="D227" s="11"/>
      <c r="E227" s="11"/>
      <c r="F227" s="12"/>
      <c r="G227" s="13" t="str">
        <f>IF(OR(D227="",E227=""),"",ROUND(MOD(E227-D227,1)*24-F227,2))</f>
        <v/>
      </c>
      <c r="H227" s="12"/>
      <c r="I227" s="13" t="str">
        <f>IF(H227&lt;&gt;"",H227,G227)</f>
        <v/>
      </c>
      <c r="J227" s="5"/>
      <c r="K227" s="6"/>
    </row>
    <row r="228" spans="1:11">
      <c r="A228" s="9"/>
      <c r="B228" s="10" t="str">
        <f>IF(A228="","",YEAR(A228)&amp;"/"&amp;RIGHT("0"&amp;MONTH(A228),2))</f>
        <v/>
      </c>
      <c r="C228" s="5"/>
      <c r="D228" s="11"/>
      <c r="E228" s="11"/>
      <c r="F228" s="12"/>
      <c r="G228" s="13" t="str">
        <f>IF(OR(D228="",E228=""),"",ROUND(MOD(E228-D228,1)*24-F228,2))</f>
        <v/>
      </c>
      <c r="H228" s="12"/>
      <c r="I228" s="13" t="str">
        <f>IF(H228&lt;&gt;"",H228,G228)</f>
        <v/>
      </c>
      <c r="J228" s="5"/>
      <c r="K228" s="6"/>
    </row>
    <row r="229" spans="1:11">
      <c r="A229" s="9"/>
      <c r="B229" s="10" t="str">
        <f>IF(A229="","",YEAR(A229)&amp;"/"&amp;RIGHT("0"&amp;MONTH(A229),2))</f>
        <v/>
      </c>
      <c r="C229" s="5"/>
      <c r="D229" s="11"/>
      <c r="E229" s="11"/>
      <c r="F229" s="12"/>
      <c r="G229" s="13" t="str">
        <f>IF(OR(D229="",E229=""),"",ROUND(MOD(E229-D229,1)*24-F229,2))</f>
        <v/>
      </c>
      <c r="H229" s="12"/>
      <c r="I229" s="13" t="str">
        <f>IF(H229&lt;&gt;"",H229,G229)</f>
        <v/>
      </c>
      <c r="J229" s="5"/>
      <c r="K229" s="6"/>
    </row>
    <row r="230" spans="1:11">
      <c r="A230" s="9"/>
      <c r="B230" s="10" t="str">
        <f>IF(A230="","",YEAR(A230)&amp;"/"&amp;RIGHT("0"&amp;MONTH(A230),2))</f>
        <v/>
      </c>
      <c r="C230" s="5"/>
      <c r="D230" s="11"/>
      <c r="E230" s="11"/>
      <c r="F230" s="12"/>
      <c r="G230" s="13" t="str">
        <f>IF(OR(D230="",E230=""),"",ROUND(MOD(E230-D230,1)*24-F230,2))</f>
        <v/>
      </c>
      <c r="H230" s="12"/>
      <c r="I230" s="13" t="str">
        <f>IF(H230&lt;&gt;"",H230,G230)</f>
        <v/>
      </c>
      <c r="J230" s="5"/>
      <c r="K230" s="6"/>
    </row>
    <row r="231" spans="1:11">
      <c r="A231" s="9"/>
      <c r="B231" s="10" t="str">
        <f>IF(A231="","",YEAR(A231)&amp;"/"&amp;RIGHT("0"&amp;MONTH(A231),2))</f>
        <v/>
      </c>
      <c r="C231" s="5"/>
      <c r="D231" s="11"/>
      <c r="E231" s="11"/>
      <c r="F231" s="12"/>
      <c r="G231" s="13" t="str">
        <f>IF(OR(D231="",E231=""),"",ROUND(MOD(E231-D231,1)*24-F231,2))</f>
        <v/>
      </c>
      <c r="H231" s="12"/>
      <c r="I231" s="13" t="str">
        <f>IF(H231&lt;&gt;"",H231,G231)</f>
        <v/>
      </c>
      <c r="J231" s="5"/>
      <c r="K231" s="6"/>
    </row>
    <row r="232" spans="1:11">
      <c r="A232" s="9"/>
      <c r="B232" s="10" t="str">
        <f>IF(A232="","",YEAR(A232)&amp;"/"&amp;RIGHT("0"&amp;MONTH(A232),2))</f>
        <v/>
      </c>
      <c r="C232" s="5"/>
      <c r="D232" s="11"/>
      <c r="E232" s="11"/>
      <c r="F232" s="12"/>
      <c r="G232" s="13" t="str">
        <f>IF(OR(D232="",E232=""),"",ROUND(MOD(E232-D232,1)*24-F232,2))</f>
        <v/>
      </c>
      <c r="H232" s="12"/>
      <c r="I232" s="13" t="str">
        <f>IF(H232&lt;&gt;"",H232,G232)</f>
        <v/>
      </c>
      <c r="J232" s="5"/>
      <c r="K232" s="6"/>
    </row>
    <row r="233" spans="1:11">
      <c r="A233" s="9"/>
      <c r="B233" s="10" t="str">
        <f>IF(A233="","",YEAR(A233)&amp;"/"&amp;RIGHT("0"&amp;MONTH(A233),2))</f>
        <v/>
      </c>
      <c r="C233" s="5"/>
      <c r="D233" s="11"/>
      <c r="E233" s="11"/>
      <c r="F233" s="12"/>
      <c r="G233" s="13" t="str">
        <f>IF(OR(D233="",E233=""),"",ROUND(MOD(E233-D233,1)*24-F233,2))</f>
        <v/>
      </c>
      <c r="H233" s="12"/>
      <c r="I233" s="13" t="str">
        <f>IF(H233&lt;&gt;"",H233,G233)</f>
        <v/>
      </c>
      <c r="J233" s="5"/>
      <c r="K233" s="6"/>
    </row>
    <row r="234" spans="1:11">
      <c r="A234" s="9"/>
      <c r="B234" s="10" t="str">
        <f>IF(A234="","",YEAR(A234)&amp;"/"&amp;RIGHT("0"&amp;MONTH(A234),2))</f>
        <v/>
      </c>
      <c r="C234" s="5"/>
      <c r="D234" s="11"/>
      <c r="E234" s="11"/>
      <c r="F234" s="12"/>
      <c r="G234" s="13" t="str">
        <f>IF(OR(D234="",E234=""),"",ROUND(MOD(E234-D234,1)*24-F234,2))</f>
        <v/>
      </c>
      <c r="H234" s="12"/>
      <c r="I234" s="13" t="str">
        <f>IF(H234&lt;&gt;"",H234,G234)</f>
        <v/>
      </c>
      <c r="J234" s="5"/>
      <c r="K234" s="6"/>
    </row>
    <row r="235" spans="1:11">
      <c r="A235" s="9"/>
      <c r="B235" s="10" t="str">
        <f>IF(A235="","",YEAR(A235)&amp;"/"&amp;RIGHT("0"&amp;MONTH(A235),2))</f>
        <v/>
      </c>
      <c r="C235" s="5"/>
      <c r="D235" s="11"/>
      <c r="E235" s="11"/>
      <c r="F235" s="12"/>
      <c r="G235" s="13" t="str">
        <f>IF(OR(D235="",E235=""),"",ROUND(MOD(E235-D235,1)*24-F235,2))</f>
        <v/>
      </c>
      <c r="H235" s="12"/>
      <c r="I235" s="13" t="str">
        <f>IF(H235&lt;&gt;"",H235,G235)</f>
        <v/>
      </c>
      <c r="J235" s="5"/>
      <c r="K235" s="6"/>
    </row>
    <row r="236" spans="1:11">
      <c r="A236" s="9"/>
      <c r="B236" s="10" t="str">
        <f>IF(A236="","",YEAR(A236)&amp;"/"&amp;RIGHT("0"&amp;MONTH(A236),2))</f>
        <v/>
      </c>
      <c r="C236" s="5"/>
      <c r="D236" s="11"/>
      <c r="E236" s="11"/>
      <c r="F236" s="12"/>
      <c r="G236" s="13" t="str">
        <f>IF(OR(D236="",E236=""),"",ROUND(MOD(E236-D236,1)*24-F236,2))</f>
        <v/>
      </c>
      <c r="H236" s="12"/>
      <c r="I236" s="13" t="str">
        <f>IF(H236&lt;&gt;"",H236,G236)</f>
        <v/>
      </c>
      <c r="J236" s="5"/>
      <c r="K236" s="6"/>
    </row>
    <row r="237" spans="1:11">
      <c r="A237" s="9"/>
      <c r="B237" s="10" t="str">
        <f>IF(A237="","",YEAR(A237)&amp;"/"&amp;RIGHT("0"&amp;MONTH(A237),2))</f>
        <v/>
      </c>
      <c r="C237" s="5"/>
      <c r="D237" s="11"/>
      <c r="E237" s="11"/>
      <c r="F237" s="12"/>
      <c r="G237" s="13" t="str">
        <f>IF(OR(D237="",E237=""),"",ROUND(MOD(E237-D237,1)*24-F237,2))</f>
        <v/>
      </c>
      <c r="H237" s="12"/>
      <c r="I237" s="13" t="str">
        <f>IF(H237&lt;&gt;"",H237,G237)</f>
        <v/>
      </c>
      <c r="J237" s="5"/>
      <c r="K237" s="6"/>
    </row>
    <row r="238" spans="1:11">
      <c r="A238" s="9"/>
      <c r="B238" s="10" t="str">
        <f>IF(A238="","",YEAR(A238)&amp;"/"&amp;RIGHT("0"&amp;MONTH(A238),2))</f>
        <v/>
      </c>
      <c r="C238" s="5"/>
      <c r="D238" s="11"/>
      <c r="E238" s="11"/>
      <c r="F238" s="12"/>
      <c r="G238" s="13" t="str">
        <f>IF(OR(D238="",E238=""),"",ROUND(MOD(E238-D238,1)*24-F238,2))</f>
        <v/>
      </c>
      <c r="H238" s="12"/>
      <c r="I238" s="13" t="str">
        <f>IF(H238&lt;&gt;"",H238,G238)</f>
        <v/>
      </c>
      <c r="J238" s="5"/>
      <c r="K238" s="6"/>
    </row>
    <row r="239" spans="1:11">
      <c r="A239" s="9"/>
      <c r="B239" s="10" t="str">
        <f>IF(A239="","",YEAR(A239)&amp;"/"&amp;RIGHT("0"&amp;MONTH(A239),2))</f>
        <v/>
      </c>
      <c r="C239" s="5"/>
      <c r="D239" s="11"/>
      <c r="E239" s="11"/>
      <c r="F239" s="12"/>
      <c r="G239" s="13" t="str">
        <f>IF(OR(D239="",E239=""),"",ROUND(MOD(E239-D239,1)*24-F239,2))</f>
        <v/>
      </c>
      <c r="H239" s="12"/>
      <c r="I239" s="13" t="str">
        <f>IF(H239&lt;&gt;"",H239,G239)</f>
        <v/>
      </c>
      <c r="J239" s="5"/>
      <c r="K239" s="6"/>
    </row>
    <row r="240" spans="1:11">
      <c r="A240" s="9"/>
      <c r="B240" s="10" t="str">
        <f>IF(A240="","",YEAR(A240)&amp;"/"&amp;RIGHT("0"&amp;MONTH(A240),2))</f>
        <v/>
      </c>
      <c r="C240" s="5"/>
      <c r="D240" s="11"/>
      <c r="E240" s="11"/>
      <c r="F240" s="12"/>
      <c r="G240" s="13" t="str">
        <f>IF(OR(D240="",E240=""),"",ROUND(MOD(E240-D240,1)*24-F240,2))</f>
        <v/>
      </c>
      <c r="H240" s="12"/>
      <c r="I240" s="13" t="str">
        <f>IF(H240&lt;&gt;"",H240,G240)</f>
        <v/>
      </c>
      <c r="J240" s="5"/>
      <c r="K240" s="6"/>
    </row>
    <row r="241" spans="1:11">
      <c r="A241" s="9"/>
      <c r="B241" s="10" t="str">
        <f>IF(A241="","",YEAR(A241)&amp;"/"&amp;RIGHT("0"&amp;MONTH(A241),2))</f>
        <v/>
      </c>
      <c r="C241" s="5"/>
      <c r="D241" s="11"/>
      <c r="E241" s="11"/>
      <c r="F241" s="12"/>
      <c r="G241" s="13" t="str">
        <f>IF(OR(D241="",E241=""),"",ROUND(MOD(E241-D241,1)*24-F241,2))</f>
        <v/>
      </c>
      <c r="H241" s="12"/>
      <c r="I241" s="13" t="str">
        <f>IF(H241&lt;&gt;"",H241,G241)</f>
        <v/>
      </c>
      <c r="J241" s="5"/>
      <c r="K241" s="6"/>
    </row>
    <row r="242" spans="1:11">
      <c r="A242" s="9"/>
      <c r="B242" s="10" t="str">
        <f>IF(A242="","",YEAR(A242)&amp;"/"&amp;RIGHT("0"&amp;MONTH(A242),2))</f>
        <v/>
      </c>
      <c r="C242" s="5"/>
      <c r="D242" s="11"/>
      <c r="E242" s="11"/>
      <c r="F242" s="12"/>
      <c r="G242" s="13" t="str">
        <f>IF(OR(D242="",E242=""),"",ROUND(MOD(E242-D242,1)*24-F242,2))</f>
        <v/>
      </c>
      <c r="H242" s="12"/>
      <c r="I242" s="13" t="str">
        <f>IF(H242&lt;&gt;"",H242,G242)</f>
        <v/>
      </c>
      <c r="J242" s="5"/>
      <c r="K242" s="6"/>
    </row>
    <row r="243" spans="1:11">
      <c r="A243" s="9"/>
      <c r="B243" s="10" t="str">
        <f>IF(A243="","",YEAR(A243)&amp;"/"&amp;RIGHT("0"&amp;MONTH(A243),2))</f>
        <v/>
      </c>
      <c r="C243" s="5"/>
      <c r="D243" s="11"/>
      <c r="E243" s="11"/>
      <c r="F243" s="12"/>
      <c r="G243" s="13" t="str">
        <f>IF(OR(D243="",E243=""),"",ROUND(MOD(E243-D243,1)*24-F243,2))</f>
        <v/>
      </c>
      <c r="H243" s="12"/>
      <c r="I243" s="13" t="str">
        <f>IF(H243&lt;&gt;"",H243,G243)</f>
        <v/>
      </c>
      <c r="J243" s="5"/>
      <c r="K243" s="6"/>
    </row>
    <row r="244" spans="1:11">
      <c r="A244" s="9"/>
      <c r="B244" s="10" t="str">
        <f>IF(A244="","",YEAR(A244)&amp;"/"&amp;RIGHT("0"&amp;MONTH(A244),2))</f>
        <v/>
      </c>
      <c r="C244" s="5"/>
      <c r="D244" s="11"/>
      <c r="E244" s="11"/>
      <c r="F244" s="12"/>
      <c r="G244" s="13" t="str">
        <f>IF(OR(D244="",E244=""),"",ROUND(MOD(E244-D244,1)*24-F244,2))</f>
        <v/>
      </c>
      <c r="H244" s="12"/>
      <c r="I244" s="13" t="str">
        <f>IF(H244&lt;&gt;"",H244,G244)</f>
        <v/>
      </c>
      <c r="J244" s="5"/>
      <c r="K244" s="6"/>
    </row>
    <row r="245" spans="1:11">
      <c r="A245" s="9"/>
      <c r="B245" s="10" t="str">
        <f>IF(A245="","",YEAR(A245)&amp;"/"&amp;RIGHT("0"&amp;MONTH(A245),2))</f>
        <v/>
      </c>
      <c r="C245" s="5"/>
      <c r="D245" s="11"/>
      <c r="E245" s="11"/>
      <c r="F245" s="12"/>
      <c r="G245" s="13" t="str">
        <f>IF(OR(D245="",E245=""),"",ROUND(MOD(E245-D245,1)*24-F245,2))</f>
        <v/>
      </c>
      <c r="H245" s="12"/>
      <c r="I245" s="13" t="str">
        <f>IF(H245&lt;&gt;"",H245,G245)</f>
        <v/>
      </c>
      <c r="J245" s="5"/>
      <c r="K245" s="6"/>
    </row>
    <row r="246" spans="1:11">
      <c r="A246" s="9"/>
      <c r="B246" s="10" t="str">
        <f>IF(A246="","",YEAR(A246)&amp;"/"&amp;RIGHT("0"&amp;MONTH(A246),2))</f>
        <v/>
      </c>
      <c r="C246" s="5"/>
      <c r="D246" s="11"/>
      <c r="E246" s="11"/>
      <c r="F246" s="12"/>
      <c r="G246" s="13" t="str">
        <f>IF(OR(D246="",E246=""),"",ROUND(MOD(E246-D246,1)*24-F246,2))</f>
        <v/>
      </c>
      <c r="H246" s="12"/>
      <c r="I246" s="13" t="str">
        <f>IF(H246&lt;&gt;"",H246,G246)</f>
        <v/>
      </c>
      <c r="J246" s="5"/>
      <c r="K246" s="6"/>
    </row>
    <row r="247" spans="1:11">
      <c r="A247" s="9"/>
      <c r="B247" s="10" t="str">
        <f>IF(A247="","",YEAR(A247)&amp;"/"&amp;RIGHT("0"&amp;MONTH(A247),2))</f>
        <v/>
      </c>
      <c r="C247" s="5"/>
      <c r="D247" s="11"/>
      <c r="E247" s="11"/>
      <c r="F247" s="12"/>
      <c r="G247" s="13" t="str">
        <f>IF(OR(D247="",E247=""),"",ROUND(MOD(E247-D247,1)*24-F247,2))</f>
        <v/>
      </c>
      <c r="H247" s="12"/>
      <c r="I247" s="13" t="str">
        <f>IF(H247&lt;&gt;"",H247,G247)</f>
        <v/>
      </c>
      <c r="J247" s="5"/>
      <c r="K247" s="6"/>
    </row>
    <row r="248" spans="1:11">
      <c r="A248" s="9"/>
      <c r="B248" s="10" t="str">
        <f>IF(A248="","",YEAR(A248)&amp;"/"&amp;RIGHT("0"&amp;MONTH(A248),2))</f>
        <v/>
      </c>
      <c r="C248" s="5"/>
      <c r="D248" s="11"/>
      <c r="E248" s="11"/>
      <c r="F248" s="12"/>
      <c r="G248" s="13" t="str">
        <f>IF(OR(D248="",E248=""),"",ROUND(MOD(E248-D248,1)*24-F248,2))</f>
        <v/>
      </c>
      <c r="H248" s="12"/>
      <c r="I248" s="13" t="str">
        <f>IF(H248&lt;&gt;"",H248,G248)</f>
        <v/>
      </c>
      <c r="J248" s="5"/>
      <c r="K248" s="6"/>
    </row>
    <row r="249" spans="1:11">
      <c r="A249" s="9"/>
      <c r="B249" s="10" t="str">
        <f>IF(A249="","",YEAR(A249)&amp;"/"&amp;RIGHT("0"&amp;MONTH(A249),2))</f>
        <v/>
      </c>
      <c r="C249" s="5"/>
      <c r="D249" s="11"/>
      <c r="E249" s="11"/>
      <c r="F249" s="12"/>
      <c r="G249" s="13" t="str">
        <f>IF(OR(D249="",E249=""),"",ROUND(MOD(E249-D249,1)*24-F249,2))</f>
        <v/>
      </c>
      <c r="H249" s="12"/>
      <c r="I249" s="13" t="str">
        <f>IF(H249&lt;&gt;"",H249,G249)</f>
        <v/>
      </c>
      <c r="J249" s="5"/>
      <c r="K249" s="6"/>
    </row>
    <row r="250" spans="1:11">
      <c r="A250" s="9"/>
      <c r="B250" s="10" t="str">
        <f>IF(A250="","",YEAR(A250)&amp;"/"&amp;RIGHT("0"&amp;MONTH(A250),2))</f>
        <v/>
      </c>
      <c r="C250" s="5"/>
      <c r="D250" s="11"/>
      <c r="E250" s="11"/>
      <c r="F250" s="12"/>
      <c r="G250" s="13" t="str">
        <f>IF(OR(D250="",E250=""),"",ROUND(MOD(E250-D250,1)*24-F250,2))</f>
        <v/>
      </c>
      <c r="H250" s="12"/>
      <c r="I250" s="13" t="str">
        <f>IF(H250&lt;&gt;"",H250,G250)</f>
        <v/>
      </c>
      <c r="J250" s="5"/>
      <c r="K250" s="6"/>
    </row>
    <row r="251" spans="1:11">
      <c r="A251" s="9"/>
      <c r="B251" s="10" t="str">
        <f>IF(A251="","",YEAR(A251)&amp;"/"&amp;RIGHT("0"&amp;MONTH(A251),2))</f>
        <v/>
      </c>
      <c r="C251" s="5"/>
      <c r="D251" s="11"/>
      <c r="E251" s="11"/>
      <c r="F251" s="12"/>
      <c r="G251" s="13" t="str">
        <f>IF(OR(D251="",E251=""),"",ROUND(MOD(E251-D251,1)*24-F251,2))</f>
        <v/>
      </c>
      <c r="H251" s="12"/>
      <c r="I251" s="13" t="str">
        <f>IF(H251&lt;&gt;"",H251,G251)</f>
        <v/>
      </c>
      <c r="J251" s="5"/>
      <c r="K251" s="6"/>
    </row>
    <row r="252" spans="1:11">
      <c r="A252" s="9"/>
      <c r="B252" s="10" t="str">
        <f>IF(A252="","",YEAR(A252)&amp;"/"&amp;RIGHT("0"&amp;MONTH(A252),2))</f>
        <v/>
      </c>
      <c r="C252" s="5"/>
      <c r="D252" s="11"/>
      <c r="E252" s="11"/>
      <c r="F252" s="12"/>
      <c r="G252" s="13" t="str">
        <f>IF(OR(D252="",E252=""),"",ROUND(MOD(E252-D252,1)*24-F252,2))</f>
        <v/>
      </c>
      <c r="H252" s="12"/>
      <c r="I252" s="13" t="str">
        <f>IF(H252&lt;&gt;"",H252,G252)</f>
        <v/>
      </c>
      <c r="J252" s="5"/>
      <c r="K252" s="6"/>
    </row>
    <row r="253" spans="1:11">
      <c r="A253" s="9"/>
      <c r="B253" s="10" t="str">
        <f>IF(A253="","",YEAR(A253)&amp;"/"&amp;RIGHT("0"&amp;MONTH(A253),2))</f>
        <v/>
      </c>
      <c r="C253" s="5"/>
      <c r="D253" s="11"/>
      <c r="E253" s="11"/>
      <c r="F253" s="12"/>
      <c r="G253" s="13" t="str">
        <f>IF(OR(D253="",E253=""),"",ROUND(MOD(E253-D253,1)*24-F253,2))</f>
        <v/>
      </c>
      <c r="H253" s="12"/>
      <c r="I253" s="13" t="str">
        <f>IF(H253&lt;&gt;"",H253,G253)</f>
        <v/>
      </c>
      <c r="J253" s="5"/>
      <c r="K253" s="6"/>
    </row>
    <row r="254" spans="1:11">
      <c r="A254" s="9"/>
      <c r="B254" s="10" t="str">
        <f>IF(A254="","",YEAR(A254)&amp;"/"&amp;RIGHT("0"&amp;MONTH(A254),2))</f>
        <v/>
      </c>
      <c r="C254" s="5"/>
      <c r="D254" s="11"/>
      <c r="E254" s="11"/>
      <c r="F254" s="12"/>
      <c r="G254" s="13" t="str">
        <f>IF(OR(D254="",E254=""),"",ROUND(MOD(E254-D254,1)*24-F254,2))</f>
        <v/>
      </c>
      <c r="H254" s="12"/>
      <c r="I254" s="13" t="str">
        <f>IF(H254&lt;&gt;"",H254,G254)</f>
        <v/>
      </c>
      <c r="J254" s="5"/>
      <c r="K254" s="6"/>
    </row>
    <row r="255" spans="1:11">
      <c r="A255" s="9"/>
      <c r="B255" s="10" t="str">
        <f>IF(A255="","",YEAR(A255)&amp;"/"&amp;RIGHT("0"&amp;MONTH(A255),2))</f>
        <v/>
      </c>
      <c r="C255" s="5"/>
      <c r="D255" s="11"/>
      <c r="E255" s="11"/>
      <c r="F255" s="12"/>
      <c r="G255" s="13" t="str">
        <f>IF(OR(D255="",E255=""),"",ROUND(MOD(E255-D255,1)*24-F255,2))</f>
        <v/>
      </c>
      <c r="H255" s="12"/>
      <c r="I255" s="13" t="str">
        <f>IF(H255&lt;&gt;"",H255,G255)</f>
        <v/>
      </c>
      <c r="J255" s="5"/>
      <c r="K255" s="6"/>
    </row>
    <row r="256" spans="1:11">
      <c r="A256" s="9"/>
      <c r="B256" s="10" t="str">
        <f>IF(A256="","",YEAR(A256)&amp;"/"&amp;RIGHT("0"&amp;MONTH(A256),2))</f>
        <v/>
      </c>
      <c r="C256" s="5"/>
      <c r="D256" s="11"/>
      <c r="E256" s="11"/>
      <c r="F256" s="12"/>
      <c r="G256" s="13" t="str">
        <f>IF(OR(D256="",E256=""),"",ROUND(MOD(E256-D256,1)*24-F256,2))</f>
        <v/>
      </c>
      <c r="H256" s="12"/>
      <c r="I256" s="13" t="str">
        <f>IF(H256&lt;&gt;"",H256,G256)</f>
        <v/>
      </c>
      <c r="J256" s="5"/>
      <c r="K256" s="6"/>
    </row>
    <row r="257" spans="1:11">
      <c r="A257" s="9"/>
      <c r="B257" s="10" t="str">
        <f>IF(A257="","",YEAR(A257)&amp;"/"&amp;RIGHT("0"&amp;MONTH(A257),2))</f>
        <v/>
      </c>
      <c r="C257" s="5"/>
      <c r="D257" s="11"/>
      <c r="E257" s="11"/>
      <c r="F257" s="12"/>
      <c r="G257" s="13" t="str">
        <f>IF(OR(D257="",E257=""),"",ROUND(MOD(E257-D257,1)*24-F257,2))</f>
        <v/>
      </c>
      <c r="H257" s="12"/>
      <c r="I257" s="13" t="str">
        <f>IF(H257&lt;&gt;"",H257,G257)</f>
        <v/>
      </c>
      <c r="J257" s="5"/>
      <c r="K257" s="6"/>
    </row>
    <row r="258" spans="1:11">
      <c r="A258" s="9"/>
      <c r="B258" s="10" t="str">
        <f>IF(A258="","",YEAR(A258)&amp;"/"&amp;RIGHT("0"&amp;MONTH(A258),2))</f>
        <v/>
      </c>
      <c r="C258" s="5"/>
      <c r="D258" s="11"/>
      <c r="E258" s="11"/>
      <c r="F258" s="12"/>
      <c r="G258" s="13" t="str">
        <f>IF(OR(D258="",E258=""),"",ROUND(MOD(E258-D258,1)*24-F258,2))</f>
        <v/>
      </c>
      <c r="H258" s="12"/>
      <c r="I258" s="13" t="str">
        <f>IF(H258&lt;&gt;"",H258,G258)</f>
        <v/>
      </c>
      <c r="J258" s="5"/>
      <c r="K258" s="6"/>
    </row>
    <row r="259" spans="1:11">
      <c r="A259" s="9"/>
      <c r="B259" s="10" t="str">
        <f>IF(A259="","",YEAR(A259)&amp;"/"&amp;RIGHT("0"&amp;MONTH(A259),2))</f>
        <v/>
      </c>
      <c r="C259" s="5"/>
      <c r="D259" s="11"/>
      <c r="E259" s="11"/>
      <c r="F259" s="12"/>
      <c r="G259" s="13" t="str">
        <f>IF(OR(D259="",E259=""),"",ROUND(MOD(E259-D259,1)*24-F259,2))</f>
        <v/>
      </c>
      <c r="H259" s="12"/>
      <c r="I259" s="13" t="str">
        <f>IF(H259&lt;&gt;"",H259,G259)</f>
        <v/>
      </c>
      <c r="J259" s="5"/>
      <c r="K259" s="6"/>
    </row>
    <row r="260" spans="1:11">
      <c r="A260" s="9"/>
      <c r="B260" s="10" t="str">
        <f>IF(A260="","",YEAR(A260)&amp;"/"&amp;RIGHT("0"&amp;MONTH(A260),2))</f>
        <v/>
      </c>
      <c r="C260" s="5"/>
      <c r="D260" s="11"/>
      <c r="E260" s="11"/>
      <c r="F260" s="12"/>
      <c r="G260" s="13" t="str">
        <f>IF(OR(D260="",E260=""),"",ROUND(MOD(E260-D260,1)*24-F260,2))</f>
        <v/>
      </c>
      <c r="H260" s="12"/>
      <c r="I260" s="13" t="str">
        <f>IF(H260&lt;&gt;"",H260,G260)</f>
        <v/>
      </c>
      <c r="J260" s="5"/>
      <c r="K260" s="6"/>
    </row>
    <row r="261" spans="1:11">
      <c r="A261" s="9"/>
      <c r="B261" s="10" t="str">
        <f>IF(A261="","",YEAR(A261)&amp;"/"&amp;RIGHT("0"&amp;MONTH(A261),2))</f>
        <v/>
      </c>
      <c r="C261" s="5"/>
      <c r="D261" s="11"/>
      <c r="E261" s="11"/>
      <c r="F261" s="12"/>
      <c r="G261" s="13" t="str">
        <f>IF(OR(D261="",E261=""),"",ROUND(MOD(E261-D261,1)*24-F261,2))</f>
        <v/>
      </c>
      <c r="H261" s="12"/>
      <c r="I261" s="13" t="str">
        <f>IF(H261&lt;&gt;"",H261,G261)</f>
        <v/>
      </c>
      <c r="J261" s="5"/>
      <c r="K261" s="6"/>
    </row>
    <row r="262" spans="1:11">
      <c r="A262" s="9"/>
      <c r="B262" s="10" t="str">
        <f>IF(A262="","",YEAR(A262)&amp;"/"&amp;RIGHT("0"&amp;MONTH(A262),2))</f>
        <v/>
      </c>
      <c r="C262" s="5"/>
      <c r="D262" s="11"/>
      <c r="E262" s="11"/>
      <c r="F262" s="12"/>
      <c r="G262" s="13" t="str">
        <f>IF(OR(D262="",E262=""),"",ROUND(MOD(E262-D262,1)*24-F262,2))</f>
        <v/>
      </c>
      <c r="H262" s="12"/>
      <c r="I262" s="13" t="str">
        <f>IF(H262&lt;&gt;"",H262,G262)</f>
        <v/>
      </c>
      <c r="J262" s="5"/>
      <c r="K262" s="6"/>
    </row>
    <row r="263" spans="1:11">
      <c r="A263" s="9"/>
      <c r="B263" s="10" t="str">
        <f>IF(A263="","",YEAR(A263)&amp;"/"&amp;RIGHT("0"&amp;MONTH(A263),2))</f>
        <v/>
      </c>
      <c r="C263" s="5"/>
      <c r="D263" s="11"/>
      <c r="E263" s="11"/>
      <c r="F263" s="12"/>
      <c r="G263" s="13" t="str">
        <f>IF(OR(D263="",E263=""),"",ROUND(MOD(E263-D263,1)*24-F263,2))</f>
        <v/>
      </c>
      <c r="H263" s="12"/>
      <c r="I263" s="13" t="str">
        <f>IF(H263&lt;&gt;"",H263,G263)</f>
        <v/>
      </c>
      <c r="J263" s="5"/>
      <c r="K263" s="6"/>
    </row>
    <row r="264" spans="1:11">
      <c r="A264" s="9"/>
      <c r="B264" s="10" t="str">
        <f>IF(A264="","",YEAR(A264)&amp;"/"&amp;RIGHT("0"&amp;MONTH(A264),2))</f>
        <v/>
      </c>
      <c r="C264" s="5"/>
      <c r="D264" s="11"/>
      <c r="E264" s="11"/>
      <c r="F264" s="12"/>
      <c r="G264" s="13" t="str">
        <f>IF(OR(D264="",E264=""),"",ROUND(MOD(E264-D264,1)*24-F264,2))</f>
        <v/>
      </c>
      <c r="H264" s="12"/>
      <c r="I264" s="13" t="str">
        <f>IF(H264&lt;&gt;"",H264,G264)</f>
        <v/>
      </c>
      <c r="J264" s="5"/>
      <c r="K264" s="6"/>
    </row>
    <row r="265" spans="1:11">
      <c r="A265" s="9"/>
      <c r="B265" s="10" t="str">
        <f>IF(A265="","",YEAR(A265)&amp;"/"&amp;RIGHT("0"&amp;MONTH(A265),2))</f>
        <v/>
      </c>
      <c r="C265" s="5"/>
      <c r="D265" s="11"/>
      <c r="E265" s="11"/>
      <c r="F265" s="12"/>
      <c r="G265" s="13" t="str">
        <f>IF(OR(D265="",E265=""),"",ROUND(MOD(E265-D265,1)*24-F265,2))</f>
        <v/>
      </c>
      <c r="H265" s="12"/>
      <c r="I265" s="13" t="str">
        <f>IF(H265&lt;&gt;"",H265,G265)</f>
        <v/>
      </c>
      <c r="J265" s="5"/>
      <c r="K265" s="6"/>
    </row>
    <row r="266" spans="1:11">
      <c r="A266" s="9"/>
      <c r="B266" s="10" t="str">
        <f>IF(A266="","",YEAR(A266)&amp;"/"&amp;RIGHT("0"&amp;MONTH(A266),2))</f>
        <v/>
      </c>
      <c r="C266" s="5"/>
      <c r="D266" s="11"/>
      <c r="E266" s="11"/>
      <c r="F266" s="12"/>
      <c r="G266" s="13" t="str">
        <f>IF(OR(D266="",E266=""),"",ROUND(MOD(E266-D266,1)*24-F266,2))</f>
        <v/>
      </c>
      <c r="H266" s="12"/>
      <c r="I266" s="13" t="str">
        <f>IF(H266&lt;&gt;"",H266,G266)</f>
        <v/>
      </c>
      <c r="J266" s="5"/>
      <c r="K266" s="6"/>
    </row>
    <row r="267" spans="1:11">
      <c r="A267" s="9"/>
      <c r="B267" s="10" t="str">
        <f>IF(A267="","",YEAR(A267)&amp;"/"&amp;RIGHT("0"&amp;MONTH(A267),2))</f>
        <v/>
      </c>
      <c r="C267" s="5"/>
      <c r="D267" s="11"/>
      <c r="E267" s="11"/>
      <c r="F267" s="12"/>
      <c r="G267" s="13" t="str">
        <f>IF(OR(D267="",E267=""),"",ROUND(MOD(E267-D267,1)*24-F267,2))</f>
        <v/>
      </c>
      <c r="H267" s="12"/>
      <c r="I267" s="13" t="str">
        <f>IF(H267&lt;&gt;"",H267,G267)</f>
        <v/>
      </c>
      <c r="J267" s="5"/>
      <c r="K267" s="6"/>
    </row>
    <row r="268" spans="1:11">
      <c r="A268" s="9"/>
      <c r="B268" s="10" t="str">
        <f>IF(A268="","",YEAR(A268)&amp;"/"&amp;RIGHT("0"&amp;MONTH(A268),2))</f>
        <v/>
      </c>
      <c r="C268" s="5"/>
      <c r="D268" s="11"/>
      <c r="E268" s="11"/>
      <c r="F268" s="12"/>
      <c r="G268" s="13" t="str">
        <f>IF(OR(D268="",E268=""),"",ROUND(MOD(E268-D268,1)*24-F268,2))</f>
        <v/>
      </c>
      <c r="H268" s="12"/>
      <c r="I268" s="13" t="str">
        <f>IF(H268&lt;&gt;"",H268,G268)</f>
        <v/>
      </c>
      <c r="J268" s="5"/>
      <c r="K268" s="6"/>
    </row>
    <row r="269" spans="1:11">
      <c r="A269" s="9"/>
      <c r="B269" s="10" t="str">
        <f>IF(A269="","",YEAR(A269)&amp;"/"&amp;RIGHT("0"&amp;MONTH(A269),2))</f>
        <v/>
      </c>
      <c r="C269" s="5"/>
      <c r="D269" s="11"/>
      <c r="E269" s="11"/>
      <c r="F269" s="12"/>
      <c r="G269" s="13" t="str">
        <f>IF(OR(D269="",E269=""),"",ROUND(MOD(E269-D269,1)*24-F269,2))</f>
        <v/>
      </c>
      <c r="H269" s="12"/>
      <c r="I269" s="13" t="str">
        <f>IF(H269&lt;&gt;"",H269,G269)</f>
        <v/>
      </c>
      <c r="J269" s="5"/>
      <c r="K269" s="6"/>
    </row>
    <row r="270" spans="1:11">
      <c r="A270" s="9"/>
      <c r="B270" s="10" t="str">
        <f>IF(A270="","",YEAR(A270)&amp;"/"&amp;RIGHT("0"&amp;MONTH(A270),2))</f>
        <v/>
      </c>
      <c r="C270" s="5"/>
      <c r="D270" s="11"/>
      <c r="E270" s="11"/>
      <c r="F270" s="12"/>
      <c r="G270" s="13" t="str">
        <f>IF(OR(D270="",E270=""),"",ROUND(MOD(E270-D270,1)*24-F270,2))</f>
        <v/>
      </c>
      <c r="H270" s="12"/>
      <c r="I270" s="13" t="str">
        <f>IF(H270&lt;&gt;"",H270,G270)</f>
        <v/>
      </c>
      <c r="J270" s="5"/>
      <c r="K270" s="6"/>
    </row>
    <row r="271" spans="1:11">
      <c r="A271" s="9"/>
      <c r="B271" s="10" t="str">
        <f>IF(A271="","",YEAR(A271)&amp;"/"&amp;RIGHT("0"&amp;MONTH(A271),2))</f>
        <v/>
      </c>
      <c r="C271" s="5"/>
      <c r="D271" s="11"/>
      <c r="E271" s="11"/>
      <c r="F271" s="12"/>
      <c r="G271" s="13" t="str">
        <f>IF(OR(D271="",E271=""),"",ROUND(MOD(E271-D271,1)*24-F271,2))</f>
        <v/>
      </c>
      <c r="H271" s="12"/>
      <c r="I271" s="13" t="str">
        <f>IF(H271&lt;&gt;"",H271,G271)</f>
        <v/>
      </c>
      <c r="J271" s="5"/>
      <c r="K271" s="6"/>
    </row>
    <row r="272" spans="1:11">
      <c r="A272" s="9"/>
      <c r="B272" s="10" t="str">
        <f>IF(A272="","",YEAR(A272)&amp;"/"&amp;RIGHT("0"&amp;MONTH(A272),2))</f>
        <v/>
      </c>
      <c r="C272" s="5"/>
      <c r="D272" s="11"/>
      <c r="E272" s="11"/>
      <c r="F272" s="12"/>
      <c r="G272" s="13" t="str">
        <f>IF(OR(D272="",E272=""),"",ROUND(MOD(E272-D272,1)*24-F272,2))</f>
        <v/>
      </c>
      <c r="H272" s="12"/>
      <c r="I272" s="13" t="str">
        <f>IF(H272&lt;&gt;"",H272,G272)</f>
        <v/>
      </c>
      <c r="J272" s="5"/>
      <c r="K272" s="6"/>
    </row>
    <row r="273" spans="1:11">
      <c r="A273" s="9"/>
      <c r="B273" s="10" t="str">
        <f>IF(A273="","",YEAR(A273)&amp;"/"&amp;RIGHT("0"&amp;MONTH(A273),2))</f>
        <v/>
      </c>
      <c r="C273" s="5"/>
      <c r="D273" s="11"/>
      <c r="E273" s="11"/>
      <c r="F273" s="12"/>
      <c r="G273" s="13" t="str">
        <f>IF(OR(D273="",E273=""),"",ROUND(MOD(E273-D273,1)*24-F273,2))</f>
        <v/>
      </c>
      <c r="H273" s="12"/>
      <c r="I273" s="13" t="str">
        <f>IF(H273&lt;&gt;"",H273,G273)</f>
        <v/>
      </c>
      <c r="J273" s="5"/>
      <c r="K273" s="6"/>
    </row>
    <row r="274" spans="1:11">
      <c r="A274" s="9"/>
      <c r="B274" s="10" t="str">
        <f>IF(A274="","",YEAR(A274)&amp;"/"&amp;RIGHT("0"&amp;MONTH(A274),2))</f>
        <v/>
      </c>
      <c r="C274" s="5"/>
      <c r="D274" s="11"/>
      <c r="E274" s="11"/>
      <c r="F274" s="12"/>
      <c r="G274" s="13" t="str">
        <f>IF(OR(D274="",E274=""),"",ROUND(MOD(E274-D274,1)*24-F274,2))</f>
        <v/>
      </c>
      <c r="H274" s="12"/>
      <c r="I274" s="13" t="str">
        <f>IF(H274&lt;&gt;"",H274,G274)</f>
        <v/>
      </c>
      <c r="J274" s="5"/>
      <c r="K274" s="6"/>
    </row>
    <row r="275" spans="1:11">
      <c r="A275" s="9"/>
      <c r="B275" s="10" t="str">
        <f>IF(A275="","",YEAR(A275)&amp;"/"&amp;RIGHT("0"&amp;MONTH(A275),2))</f>
        <v/>
      </c>
      <c r="C275" s="5"/>
      <c r="D275" s="11"/>
      <c r="E275" s="11"/>
      <c r="F275" s="12"/>
      <c r="G275" s="13" t="str">
        <f>IF(OR(D275="",E275=""),"",ROUND(MOD(E275-D275,1)*24-F275,2))</f>
        <v/>
      </c>
      <c r="H275" s="12"/>
      <c r="I275" s="13" t="str">
        <f>IF(H275&lt;&gt;"",H275,G275)</f>
        <v/>
      </c>
      <c r="J275" s="5"/>
      <c r="K275" s="6"/>
    </row>
    <row r="276" spans="1:11">
      <c r="A276" s="9"/>
      <c r="B276" s="10" t="str">
        <f>IF(A276="","",YEAR(A276)&amp;"/"&amp;RIGHT("0"&amp;MONTH(A276),2))</f>
        <v/>
      </c>
      <c r="C276" s="5"/>
      <c r="D276" s="11"/>
      <c r="E276" s="11"/>
      <c r="F276" s="12"/>
      <c r="G276" s="13" t="str">
        <f>IF(OR(D276="",E276=""),"",ROUND(MOD(E276-D276,1)*24-F276,2))</f>
        <v/>
      </c>
      <c r="H276" s="12"/>
      <c r="I276" s="13" t="str">
        <f>IF(H276&lt;&gt;"",H276,G276)</f>
        <v/>
      </c>
      <c r="J276" s="5"/>
      <c r="K276" s="6"/>
    </row>
    <row r="277" spans="1:11">
      <c r="A277" s="9"/>
      <c r="B277" s="10" t="str">
        <f>IF(A277="","",YEAR(A277)&amp;"/"&amp;RIGHT("0"&amp;MONTH(A277),2))</f>
        <v/>
      </c>
      <c r="C277" s="5"/>
      <c r="D277" s="11"/>
      <c r="E277" s="11"/>
      <c r="F277" s="12"/>
      <c r="G277" s="13" t="str">
        <f>IF(OR(D277="",E277=""),"",ROUND(MOD(E277-D277,1)*24-F277,2))</f>
        <v/>
      </c>
      <c r="H277" s="12"/>
      <c r="I277" s="13" t="str">
        <f>IF(H277&lt;&gt;"",H277,G277)</f>
        <v/>
      </c>
      <c r="J277" s="5"/>
      <c r="K277" s="6"/>
    </row>
    <row r="278" spans="1:11">
      <c r="A278" s="9"/>
      <c r="B278" s="10" t="str">
        <f>IF(A278="","",YEAR(A278)&amp;"/"&amp;RIGHT("0"&amp;MONTH(A278),2))</f>
        <v/>
      </c>
      <c r="C278" s="5"/>
      <c r="D278" s="11"/>
      <c r="E278" s="11"/>
      <c r="F278" s="12"/>
      <c r="G278" s="13" t="str">
        <f>IF(OR(D278="",E278=""),"",ROUND(MOD(E278-D278,1)*24-F278,2))</f>
        <v/>
      </c>
      <c r="H278" s="12"/>
      <c r="I278" s="13" t="str">
        <f>IF(H278&lt;&gt;"",H278,G278)</f>
        <v/>
      </c>
      <c r="J278" s="5"/>
      <c r="K278" s="6"/>
    </row>
    <row r="279" spans="1:11">
      <c r="A279" s="9"/>
      <c r="B279" s="10" t="str">
        <f>IF(A279="","",YEAR(A279)&amp;"/"&amp;RIGHT("0"&amp;MONTH(A279),2))</f>
        <v/>
      </c>
      <c r="C279" s="5"/>
      <c r="D279" s="11"/>
      <c r="E279" s="11"/>
      <c r="F279" s="12"/>
      <c r="G279" s="13" t="str">
        <f>IF(OR(D279="",E279=""),"",ROUND(MOD(E279-D279,1)*24-F279,2))</f>
        <v/>
      </c>
      <c r="H279" s="12"/>
      <c r="I279" s="13" t="str">
        <f>IF(H279&lt;&gt;"",H279,G279)</f>
        <v/>
      </c>
      <c r="J279" s="5"/>
      <c r="K279" s="6"/>
    </row>
    <row r="280" spans="1:11">
      <c r="A280" s="9"/>
      <c r="B280" s="10" t="str">
        <f>IF(A280="","",YEAR(A280)&amp;"/"&amp;RIGHT("0"&amp;MONTH(A280),2))</f>
        <v/>
      </c>
      <c r="C280" s="5"/>
      <c r="D280" s="11"/>
      <c r="E280" s="11"/>
      <c r="F280" s="12"/>
      <c r="G280" s="13" t="str">
        <f>IF(OR(D280="",E280=""),"",ROUND(MOD(E280-D280,1)*24-F280,2))</f>
        <v/>
      </c>
      <c r="H280" s="12"/>
      <c r="I280" s="13" t="str">
        <f>IF(H280&lt;&gt;"",H280,G280)</f>
        <v/>
      </c>
      <c r="J280" s="5"/>
      <c r="K280" s="6"/>
    </row>
    <row r="281" spans="1:11">
      <c r="A281" s="9"/>
      <c r="B281" s="10" t="str">
        <f>IF(A281="","",YEAR(A281)&amp;"/"&amp;RIGHT("0"&amp;MONTH(A281),2))</f>
        <v/>
      </c>
      <c r="C281" s="5"/>
      <c r="D281" s="11"/>
      <c r="E281" s="11"/>
      <c r="F281" s="12"/>
      <c r="G281" s="13" t="str">
        <f>IF(OR(D281="",E281=""),"",ROUND(MOD(E281-D281,1)*24-F281,2))</f>
        <v/>
      </c>
      <c r="H281" s="12"/>
      <c r="I281" s="13" t="str">
        <f>IF(H281&lt;&gt;"",H281,G281)</f>
        <v/>
      </c>
      <c r="J281" s="5"/>
      <c r="K281" s="6"/>
    </row>
    <row r="282" spans="1:11">
      <c r="A282" s="9"/>
      <c r="B282" s="10" t="str">
        <f>IF(A282="","",YEAR(A282)&amp;"/"&amp;RIGHT("0"&amp;MONTH(A282),2))</f>
        <v/>
      </c>
      <c r="C282" s="5"/>
      <c r="D282" s="11"/>
      <c r="E282" s="11"/>
      <c r="F282" s="12"/>
      <c r="G282" s="13" t="str">
        <f>IF(OR(D282="",E282=""),"",ROUND(MOD(E282-D282,1)*24-F282,2))</f>
        <v/>
      </c>
      <c r="H282" s="12"/>
      <c r="I282" s="13" t="str">
        <f>IF(H282&lt;&gt;"",H282,G282)</f>
        <v/>
      </c>
      <c r="J282" s="5"/>
      <c r="K282" s="6"/>
    </row>
    <row r="283" spans="1:11">
      <c r="A283" s="9"/>
      <c r="B283" s="10" t="str">
        <f>IF(A283="","",YEAR(A283)&amp;"/"&amp;RIGHT("0"&amp;MONTH(A283),2))</f>
        <v/>
      </c>
      <c r="C283" s="5"/>
      <c r="D283" s="11"/>
      <c r="E283" s="11"/>
      <c r="F283" s="12"/>
      <c r="G283" s="13" t="str">
        <f>IF(OR(D283="",E283=""),"",ROUND(MOD(E283-D283,1)*24-F283,2))</f>
        <v/>
      </c>
      <c r="H283" s="12"/>
      <c r="I283" s="13" t="str">
        <f>IF(H283&lt;&gt;"",H283,G283)</f>
        <v/>
      </c>
      <c r="J283" s="5"/>
      <c r="K283" s="6"/>
    </row>
    <row r="284" spans="1:11">
      <c r="A284" s="9"/>
      <c r="B284" s="10" t="str">
        <f>IF(A284="","",YEAR(A284)&amp;"/"&amp;RIGHT("0"&amp;MONTH(A284),2))</f>
        <v/>
      </c>
      <c r="C284" s="5"/>
      <c r="D284" s="11"/>
      <c r="E284" s="11"/>
      <c r="F284" s="12"/>
      <c r="G284" s="13" t="str">
        <f>IF(OR(D284="",E284=""),"",ROUND(MOD(E284-D284,1)*24-F284,2))</f>
        <v/>
      </c>
      <c r="H284" s="12"/>
      <c r="I284" s="13" t="str">
        <f>IF(H284&lt;&gt;"",H284,G284)</f>
        <v/>
      </c>
      <c r="J284" s="5"/>
      <c r="K284" s="6"/>
    </row>
    <row r="285" spans="1:11">
      <c r="A285" s="9"/>
      <c r="B285" s="10" t="str">
        <f>IF(A285="","",YEAR(A285)&amp;"/"&amp;RIGHT("0"&amp;MONTH(A285),2))</f>
        <v/>
      </c>
      <c r="C285" s="5"/>
      <c r="D285" s="11"/>
      <c r="E285" s="11"/>
      <c r="F285" s="12"/>
      <c r="G285" s="13" t="str">
        <f>IF(OR(D285="",E285=""),"",ROUND(MOD(E285-D285,1)*24-F285,2))</f>
        <v/>
      </c>
      <c r="H285" s="12"/>
      <c r="I285" s="13" t="str">
        <f>IF(H285&lt;&gt;"",H285,G285)</f>
        <v/>
      </c>
      <c r="J285" s="5"/>
      <c r="K285" s="6"/>
    </row>
    <row r="286" spans="1:11">
      <c r="A286" s="9"/>
      <c r="B286" s="10" t="str">
        <f>IF(A286="","",YEAR(A286)&amp;"/"&amp;RIGHT("0"&amp;MONTH(A286),2))</f>
        <v/>
      </c>
      <c r="C286" s="5"/>
      <c r="D286" s="11"/>
      <c r="E286" s="11"/>
      <c r="F286" s="12"/>
      <c r="G286" s="13" t="str">
        <f>IF(OR(D286="",E286=""),"",ROUND(MOD(E286-D286,1)*24-F286,2))</f>
        <v/>
      </c>
      <c r="H286" s="12"/>
      <c r="I286" s="13" t="str">
        <f>IF(H286&lt;&gt;"",H286,G286)</f>
        <v/>
      </c>
      <c r="J286" s="5"/>
      <c r="K286" s="6"/>
    </row>
    <row r="287" spans="1:11">
      <c r="A287" s="9"/>
      <c r="B287" s="10" t="str">
        <f>IF(A287="","",YEAR(A287)&amp;"/"&amp;RIGHT("0"&amp;MONTH(A287),2))</f>
        <v/>
      </c>
      <c r="C287" s="5"/>
      <c r="D287" s="11"/>
      <c r="E287" s="11"/>
      <c r="F287" s="12"/>
      <c r="G287" s="13" t="str">
        <f>IF(OR(D287="",E287=""),"",ROUND(MOD(E287-D287,1)*24-F287,2))</f>
        <v/>
      </c>
      <c r="H287" s="12"/>
      <c r="I287" s="13" t="str">
        <f>IF(H287&lt;&gt;"",H287,G287)</f>
        <v/>
      </c>
      <c r="J287" s="5"/>
      <c r="K287" s="6"/>
    </row>
    <row r="288" spans="1:11">
      <c r="A288" s="9"/>
      <c r="B288" s="10" t="str">
        <f>IF(A288="","",YEAR(A288)&amp;"/"&amp;RIGHT("0"&amp;MONTH(A288),2))</f>
        <v/>
      </c>
      <c r="C288" s="5"/>
      <c r="D288" s="11"/>
      <c r="E288" s="11"/>
      <c r="F288" s="12"/>
      <c r="G288" s="13" t="str">
        <f>IF(OR(D288="",E288=""),"",ROUND(MOD(E288-D288,1)*24-F288,2))</f>
        <v/>
      </c>
      <c r="H288" s="12"/>
      <c r="I288" s="13" t="str">
        <f>IF(H288&lt;&gt;"",H288,G288)</f>
        <v/>
      </c>
      <c r="J288" s="5"/>
      <c r="K288" s="6"/>
    </row>
    <row r="289" spans="1:11">
      <c r="A289" s="9"/>
      <c r="B289" s="10" t="str">
        <f>IF(A289="","",YEAR(A289)&amp;"/"&amp;RIGHT("0"&amp;MONTH(A289),2))</f>
        <v/>
      </c>
      <c r="C289" s="5"/>
      <c r="D289" s="11"/>
      <c r="E289" s="11"/>
      <c r="F289" s="12"/>
      <c r="G289" s="13" t="str">
        <f>IF(OR(D289="",E289=""),"",ROUND(MOD(E289-D289,1)*24-F289,2))</f>
        <v/>
      </c>
      <c r="H289" s="12"/>
      <c r="I289" s="13" t="str">
        <f>IF(H289&lt;&gt;"",H289,G289)</f>
        <v/>
      </c>
      <c r="J289" s="5"/>
      <c r="K289" s="6"/>
    </row>
    <row r="290" spans="1:11">
      <c r="A290" s="9"/>
      <c r="B290" s="10" t="str">
        <f>IF(A290="","",YEAR(A290)&amp;"/"&amp;RIGHT("0"&amp;MONTH(A290),2))</f>
        <v/>
      </c>
      <c r="C290" s="5"/>
      <c r="D290" s="11"/>
      <c r="E290" s="11"/>
      <c r="F290" s="12"/>
      <c r="G290" s="13" t="str">
        <f>IF(OR(D290="",E290=""),"",ROUND(MOD(E290-D290,1)*24-F290,2))</f>
        <v/>
      </c>
      <c r="H290" s="12"/>
      <c r="I290" s="13" t="str">
        <f>IF(H290&lt;&gt;"",H290,G290)</f>
        <v/>
      </c>
      <c r="J290" s="5"/>
      <c r="K290" s="6"/>
    </row>
    <row r="291" spans="1:11">
      <c r="A291" s="9"/>
      <c r="B291" s="10" t="str">
        <f>IF(A291="","",YEAR(A291)&amp;"/"&amp;RIGHT("0"&amp;MONTH(A291),2))</f>
        <v/>
      </c>
      <c r="C291" s="5"/>
      <c r="D291" s="11"/>
      <c r="E291" s="11"/>
      <c r="F291" s="12"/>
      <c r="G291" s="13" t="str">
        <f>IF(OR(D291="",E291=""),"",ROUND(MOD(E291-D291,1)*24-F291,2))</f>
        <v/>
      </c>
      <c r="H291" s="12"/>
      <c r="I291" s="13" t="str">
        <f>IF(H291&lt;&gt;"",H291,G291)</f>
        <v/>
      </c>
      <c r="J291" s="5"/>
      <c r="K291" s="6"/>
    </row>
    <row r="292" spans="1:11">
      <c r="A292" s="9"/>
      <c r="B292" s="10" t="str">
        <f>IF(A292="","",YEAR(A292)&amp;"/"&amp;RIGHT("0"&amp;MONTH(A292),2))</f>
        <v/>
      </c>
      <c r="C292" s="5"/>
      <c r="D292" s="11"/>
      <c r="E292" s="11"/>
      <c r="F292" s="12"/>
      <c r="G292" s="13" t="str">
        <f>IF(OR(D292="",E292=""),"",ROUND(MOD(E292-D292,1)*24-F292,2))</f>
        <v/>
      </c>
      <c r="H292" s="12"/>
      <c r="I292" s="13" t="str">
        <f>IF(H292&lt;&gt;"",H292,G292)</f>
        <v/>
      </c>
      <c r="J292" s="5"/>
      <c r="K292" s="6"/>
    </row>
    <row r="293" spans="1:11">
      <c r="A293" s="9"/>
      <c r="B293" s="10" t="str">
        <f>IF(A293="","",YEAR(A293)&amp;"/"&amp;RIGHT("0"&amp;MONTH(A293),2))</f>
        <v/>
      </c>
      <c r="C293" s="5"/>
      <c r="D293" s="11"/>
      <c r="E293" s="11"/>
      <c r="F293" s="12"/>
      <c r="G293" s="13" t="str">
        <f>IF(OR(D293="",E293=""),"",ROUND(MOD(E293-D293,1)*24-F293,2))</f>
        <v/>
      </c>
      <c r="H293" s="12"/>
      <c r="I293" s="13" t="str">
        <f>IF(H293&lt;&gt;"",H293,G293)</f>
        <v/>
      </c>
      <c r="J293" s="5"/>
      <c r="K293" s="6"/>
    </row>
    <row r="294" spans="1:11">
      <c r="A294" s="9"/>
      <c r="B294" s="10" t="str">
        <f>IF(A294="","",YEAR(A294)&amp;"/"&amp;RIGHT("0"&amp;MONTH(A294),2))</f>
        <v/>
      </c>
      <c r="C294" s="5"/>
      <c r="D294" s="11"/>
      <c r="E294" s="11"/>
      <c r="F294" s="12"/>
      <c r="G294" s="13" t="str">
        <f>IF(OR(D294="",E294=""),"",ROUND(MOD(E294-D294,1)*24-F294,2))</f>
        <v/>
      </c>
      <c r="H294" s="12"/>
      <c r="I294" s="13" t="str">
        <f>IF(H294&lt;&gt;"",H294,G294)</f>
        <v/>
      </c>
      <c r="J294" s="5"/>
      <c r="K294" s="6"/>
    </row>
    <row r="295" spans="1:11">
      <c r="A295" s="9"/>
      <c r="B295" s="10" t="str">
        <f>IF(A295="","",YEAR(A295)&amp;"/"&amp;RIGHT("0"&amp;MONTH(A295),2))</f>
        <v/>
      </c>
      <c r="C295" s="5"/>
      <c r="D295" s="11"/>
      <c r="E295" s="11"/>
      <c r="F295" s="12"/>
      <c r="G295" s="13" t="str">
        <f>IF(OR(D295="",E295=""),"",ROUND(MOD(E295-D295,1)*24-F295,2))</f>
        <v/>
      </c>
      <c r="H295" s="12"/>
      <c r="I295" s="13" t="str">
        <f>IF(H295&lt;&gt;"",H295,G295)</f>
        <v/>
      </c>
      <c r="J295" s="5"/>
      <c r="K295" s="6"/>
    </row>
    <row r="296" spans="1:11">
      <c r="A296" s="9"/>
      <c r="B296" s="10" t="str">
        <f>IF(A296="","",YEAR(A296)&amp;"/"&amp;RIGHT("0"&amp;MONTH(A296),2))</f>
        <v/>
      </c>
      <c r="C296" s="5"/>
      <c r="D296" s="11"/>
      <c r="E296" s="11"/>
      <c r="F296" s="12"/>
      <c r="G296" s="13" t="str">
        <f>IF(OR(D296="",E296=""),"",ROUND(MOD(E296-D296,1)*24-F296,2))</f>
        <v/>
      </c>
      <c r="H296" s="12"/>
      <c r="I296" s="13" t="str">
        <f>IF(H296&lt;&gt;"",H296,G296)</f>
        <v/>
      </c>
      <c r="J296" s="5"/>
      <c r="K296" s="6"/>
    </row>
    <row r="297" spans="1:11">
      <c r="A297" s="9"/>
      <c r="B297" s="10" t="str">
        <f>IF(A297="","",YEAR(A297)&amp;"/"&amp;RIGHT("0"&amp;MONTH(A297),2))</f>
        <v/>
      </c>
      <c r="C297" s="5"/>
      <c r="D297" s="11"/>
      <c r="E297" s="11"/>
      <c r="F297" s="12"/>
      <c r="G297" s="13" t="str">
        <f>IF(OR(D297="",E297=""),"",ROUND(MOD(E297-D297,1)*24-F297,2))</f>
        <v/>
      </c>
      <c r="H297" s="12"/>
      <c r="I297" s="13" t="str">
        <f>IF(H297&lt;&gt;"",H297,G297)</f>
        <v/>
      </c>
      <c r="J297" s="5"/>
      <c r="K297" s="6"/>
    </row>
    <row r="298" spans="1:11">
      <c r="A298" s="9"/>
      <c r="B298" s="10" t="str">
        <f>IF(A298="","",YEAR(A298)&amp;"/"&amp;RIGHT("0"&amp;MONTH(A298),2))</f>
        <v/>
      </c>
      <c r="C298" s="5"/>
      <c r="D298" s="11"/>
      <c r="E298" s="11"/>
      <c r="F298" s="12"/>
      <c r="G298" s="13" t="str">
        <f>IF(OR(D298="",E298=""),"",ROUND(MOD(E298-D298,1)*24-F298,2))</f>
        <v/>
      </c>
      <c r="H298" s="12"/>
      <c r="I298" s="13" t="str">
        <f>IF(H298&lt;&gt;"",H298,G298)</f>
        <v/>
      </c>
      <c r="J298" s="5"/>
      <c r="K298" s="6"/>
    </row>
    <row r="299" spans="1:11">
      <c r="A299" s="9"/>
      <c r="B299" s="10" t="str">
        <f>IF(A299="","",YEAR(A299)&amp;"/"&amp;RIGHT("0"&amp;MONTH(A299),2))</f>
        <v/>
      </c>
      <c r="C299" s="5"/>
      <c r="D299" s="11"/>
      <c r="E299" s="11"/>
      <c r="F299" s="12"/>
      <c r="G299" s="13" t="str">
        <f>IF(OR(D299="",E299=""),"",ROUND(MOD(E299-D299,1)*24-F299,2))</f>
        <v/>
      </c>
      <c r="H299" s="12"/>
      <c r="I299" s="13" t="str">
        <f>IF(H299&lt;&gt;"",H299,G299)</f>
        <v/>
      </c>
      <c r="J299" s="5"/>
      <c r="K299" s="6"/>
    </row>
    <row r="300" spans="1:11">
      <c r="A300" s="9"/>
      <c r="B300" s="10" t="str">
        <f>IF(A300="","",YEAR(A300)&amp;"/"&amp;RIGHT("0"&amp;MONTH(A300),2))</f>
        <v/>
      </c>
      <c r="C300" s="5"/>
      <c r="D300" s="11"/>
      <c r="E300" s="11"/>
      <c r="F300" s="12"/>
      <c r="G300" s="13" t="str">
        <f>IF(OR(D300="",E300=""),"",ROUND(MOD(E300-D300,1)*24-F300,2))</f>
        <v/>
      </c>
      <c r="H300" s="12"/>
      <c r="I300" s="13" t="str">
        <f>IF(H300&lt;&gt;"",H300,G300)</f>
        <v/>
      </c>
      <c r="J300" s="5"/>
      <c r="K300" s="6"/>
    </row>
    <row r="301" spans="1:11">
      <c r="A301" s="9"/>
      <c r="B301" s="10" t="str">
        <f>IF(A301="","",YEAR(A301)&amp;"/"&amp;RIGHT("0"&amp;MONTH(A301),2))</f>
        <v/>
      </c>
      <c r="C301" s="5"/>
      <c r="D301" s="11"/>
      <c r="E301" s="11"/>
      <c r="F301" s="12"/>
      <c r="G301" s="13" t="str">
        <f>IF(OR(D301="",E301=""),"",ROUND(MOD(E301-D301,1)*24-F301,2))</f>
        <v/>
      </c>
      <c r="H301" s="12"/>
      <c r="I301" s="13" t="str">
        <f>IF(H301&lt;&gt;"",H301,G301)</f>
        <v/>
      </c>
      <c r="J301" s="5"/>
      <c r="K301" s="6"/>
    </row>
    <row r="302" spans="1:11">
      <c r="A302" s="9"/>
      <c r="B302" s="10" t="str">
        <f>IF(A302="","",YEAR(A302)&amp;"/"&amp;RIGHT("0"&amp;MONTH(A302),2))</f>
        <v/>
      </c>
      <c r="C302" s="5"/>
      <c r="D302" s="11"/>
      <c r="E302" s="11"/>
      <c r="F302" s="12"/>
      <c r="G302" s="13" t="str">
        <f>IF(OR(D302="",E302=""),"",ROUND(MOD(E302-D302,1)*24-F302,2))</f>
        <v/>
      </c>
      <c r="H302" s="12"/>
      <c r="I302" s="13" t="str">
        <f>IF(H302&lt;&gt;"",H302,G302)</f>
        <v/>
      </c>
      <c r="J302" s="5"/>
      <c r="K302" s="6"/>
    </row>
    <row r="303" spans="1:11">
      <c r="A303" s="9"/>
      <c r="B303" s="10" t="str">
        <f>IF(A303="","",YEAR(A303)&amp;"/"&amp;RIGHT("0"&amp;MONTH(A303),2))</f>
        <v/>
      </c>
      <c r="C303" s="5"/>
      <c r="D303" s="11"/>
      <c r="E303" s="11"/>
      <c r="F303" s="12"/>
      <c r="G303" s="13" t="str">
        <f>IF(OR(D303="",E303=""),"",ROUND(MOD(E303-D303,1)*24-F303,2))</f>
        <v/>
      </c>
      <c r="H303" s="12"/>
      <c r="I303" s="13" t="str">
        <f>IF(H303&lt;&gt;"",H303,G303)</f>
        <v/>
      </c>
      <c r="J303" s="5"/>
      <c r="K303" s="6"/>
    </row>
    <row r="304" spans="1:11">
      <c r="A304" s="9"/>
      <c r="B304" s="10" t="str">
        <f>IF(A304="","",YEAR(A304)&amp;"/"&amp;RIGHT("0"&amp;MONTH(A304),2))</f>
        <v/>
      </c>
      <c r="C304" s="5"/>
      <c r="D304" s="11"/>
      <c r="E304" s="11"/>
      <c r="F304" s="12"/>
      <c r="G304" s="13" t="str">
        <f>IF(OR(D304="",E304=""),"",ROUND(MOD(E304-D304,1)*24-F304,2))</f>
        <v/>
      </c>
      <c r="H304" s="12"/>
      <c r="I304" s="13" t="str">
        <f>IF(H304&lt;&gt;"",H304,G304)</f>
        <v/>
      </c>
      <c r="J304" s="5"/>
      <c r="K304" s="6"/>
    </row>
    <row r="305" spans="1:11">
      <c r="A305" s="9"/>
      <c r="B305" s="10" t="str">
        <f>IF(A305="","",YEAR(A305)&amp;"/"&amp;RIGHT("0"&amp;MONTH(A305),2))</f>
        <v/>
      </c>
      <c r="C305" s="5"/>
      <c r="D305" s="11"/>
      <c r="E305" s="11"/>
      <c r="F305" s="12"/>
      <c r="G305" s="13" t="str">
        <f>IF(OR(D305="",E305=""),"",ROUND(MOD(E305-D305,1)*24-F305,2))</f>
        <v/>
      </c>
      <c r="H305" s="12"/>
      <c r="I305" s="13" t="str">
        <f>IF(H305&lt;&gt;"",H305,G305)</f>
        <v/>
      </c>
      <c r="J305" s="5"/>
      <c r="K305" s="6"/>
    </row>
    <row r="306" spans="1:11">
      <c r="A306" s="9"/>
      <c r="B306" s="10" t="str">
        <f>IF(A306="","",YEAR(A306)&amp;"/"&amp;RIGHT("0"&amp;MONTH(A306),2))</f>
        <v/>
      </c>
      <c r="C306" s="5"/>
      <c r="D306" s="11"/>
      <c r="E306" s="11"/>
      <c r="F306" s="12"/>
      <c r="G306" s="13" t="str">
        <f>IF(OR(D306="",E306=""),"",ROUND(MOD(E306-D306,1)*24-F306,2))</f>
        <v/>
      </c>
      <c r="H306" s="12"/>
      <c r="I306" s="13" t="str">
        <f>IF(H306&lt;&gt;"",H306,G306)</f>
        <v/>
      </c>
      <c r="J306" s="5"/>
      <c r="K306" s="6"/>
    </row>
    <row r="307" spans="1:11">
      <c r="A307" s="9"/>
      <c r="B307" s="10" t="str">
        <f>IF(A307="","",YEAR(A307)&amp;"/"&amp;RIGHT("0"&amp;MONTH(A307),2))</f>
        <v/>
      </c>
      <c r="C307" s="5"/>
      <c r="D307" s="11"/>
      <c r="E307" s="11"/>
      <c r="F307" s="12"/>
      <c r="G307" s="13" t="str">
        <f>IF(OR(D307="",E307=""),"",ROUND(MOD(E307-D307,1)*24-F307,2))</f>
        <v/>
      </c>
      <c r="H307" s="12"/>
      <c r="I307" s="13" t="str">
        <f>IF(H307&lt;&gt;"",H307,G307)</f>
        <v/>
      </c>
      <c r="J307" s="5"/>
      <c r="K307" s="6"/>
    </row>
    <row r="308" spans="1:11">
      <c r="A308" s="9"/>
      <c r="B308" s="10" t="str">
        <f>IF(A308="","",YEAR(A308)&amp;"/"&amp;RIGHT("0"&amp;MONTH(A308),2))</f>
        <v/>
      </c>
      <c r="C308" s="5"/>
      <c r="D308" s="11"/>
      <c r="E308" s="11"/>
      <c r="F308" s="12"/>
      <c r="G308" s="13" t="str">
        <f>IF(OR(D308="",E308=""),"",ROUND(MOD(E308-D308,1)*24-F308,2))</f>
        <v/>
      </c>
      <c r="H308" s="12"/>
      <c r="I308" s="13" t="str">
        <f>IF(H308&lt;&gt;"",H308,G308)</f>
        <v/>
      </c>
      <c r="J308" s="5"/>
      <c r="K308" s="6"/>
    </row>
    <row r="309" spans="1:11">
      <c r="A309" s="9"/>
      <c r="B309" s="10" t="str">
        <f>IF(A309="","",YEAR(A309)&amp;"/"&amp;RIGHT("0"&amp;MONTH(A309),2))</f>
        <v/>
      </c>
      <c r="C309" s="5"/>
      <c r="D309" s="11"/>
      <c r="E309" s="11"/>
      <c r="F309" s="12"/>
      <c r="G309" s="13" t="str">
        <f>IF(OR(D309="",E309=""),"",ROUND(MOD(E309-D309,1)*24-F309,2))</f>
        <v/>
      </c>
      <c r="H309" s="12"/>
      <c r="I309" s="13" t="str">
        <f>IF(H309&lt;&gt;"",H309,G309)</f>
        <v/>
      </c>
      <c r="J309" s="5"/>
      <c r="K309" s="6"/>
    </row>
    <row r="310" spans="1:11">
      <c r="A310" s="9"/>
      <c r="B310" s="10" t="str">
        <f>IF(A310="","",YEAR(A310)&amp;"/"&amp;RIGHT("0"&amp;MONTH(A310),2))</f>
        <v/>
      </c>
      <c r="C310" s="5"/>
      <c r="D310" s="11"/>
      <c r="E310" s="11"/>
      <c r="F310" s="12"/>
      <c r="G310" s="13" t="str">
        <f>IF(OR(D310="",E310=""),"",ROUND(MOD(E310-D310,1)*24-F310,2))</f>
        <v/>
      </c>
      <c r="H310" s="12"/>
      <c r="I310" s="13" t="str">
        <f>IF(H310&lt;&gt;"",H310,G310)</f>
        <v/>
      </c>
      <c r="J310" s="5"/>
      <c r="K310" s="6"/>
    </row>
    <row r="311" spans="1:11">
      <c r="A311" s="9"/>
      <c r="B311" s="10" t="str">
        <f>IF(A311="","",YEAR(A311)&amp;"/"&amp;RIGHT("0"&amp;MONTH(A311),2))</f>
        <v/>
      </c>
      <c r="C311" s="5"/>
      <c r="D311" s="11"/>
      <c r="E311" s="11"/>
      <c r="F311" s="12"/>
      <c r="G311" s="13" t="str">
        <f>IF(OR(D311="",E311=""),"",ROUND(MOD(E311-D311,1)*24-F311,2))</f>
        <v/>
      </c>
      <c r="H311" s="12"/>
      <c r="I311" s="13" t="str">
        <f>IF(H311&lt;&gt;"",H311,G311)</f>
        <v/>
      </c>
      <c r="J311" s="5"/>
      <c r="K311" s="6"/>
    </row>
    <row r="312" spans="1:11">
      <c r="A312" s="9"/>
      <c r="B312" s="10" t="str">
        <f>IF(A312="","",YEAR(A312)&amp;"/"&amp;RIGHT("0"&amp;MONTH(A312),2))</f>
        <v/>
      </c>
      <c r="C312" s="5"/>
      <c r="D312" s="11"/>
      <c r="E312" s="11"/>
      <c r="F312" s="12"/>
      <c r="G312" s="13" t="str">
        <f>IF(OR(D312="",E312=""),"",ROUND(MOD(E312-D312,1)*24-F312,2))</f>
        <v/>
      </c>
      <c r="H312" s="12"/>
      <c r="I312" s="13" t="str">
        <f>IF(H312&lt;&gt;"",H312,G312)</f>
        <v/>
      </c>
      <c r="J312" s="5"/>
      <c r="K312" s="6"/>
    </row>
    <row r="313" spans="1:11">
      <c r="A313" s="9"/>
      <c r="B313" s="10" t="str">
        <f>IF(A313="","",YEAR(A313)&amp;"/"&amp;RIGHT("0"&amp;MONTH(A313),2))</f>
        <v/>
      </c>
      <c r="C313" s="5"/>
      <c r="D313" s="11"/>
      <c r="E313" s="11"/>
      <c r="F313" s="12"/>
      <c r="G313" s="13" t="str">
        <f>IF(OR(D313="",E313=""),"",ROUND(MOD(E313-D313,1)*24-F313,2))</f>
        <v/>
      </c>
      <c r="H313" s="12"/>
      <c r="I313" s="13" t="str">
        <f>IF(H313&lt;&gt;"",H313,G313)</f>
        <v/>
      </c>
      <c r="J313" s="5"/>
      <c r="K313" s="6"/>
    </row>
    <row r="314" spans="1:11">
      <c r="A314" s="9"/>
      <c r="B314" s="10" t="str">
        <f>IF(A314="","",YEAR(A314)&amp;"/"&amp;RIGHT("0"&amp;MONTH(A314),2))</f>
        <v/>
      </c>
      <c r="C314" s="5"/>
      <c r="D314" s="11"/>
      <c r="E314" s="11"/>
      <c r="F314" s="12"/>
      <c r="G314" s="13" t="str">
        <f>IF(OR(D314="",E314=""),"",ROUND(MOD(E314-D314,1)*24-F314,2))</f>
        <v/>
      </c>
      <c r="H314" s="12"/>
      <c r="I314" s="13" t="str">
        <f>IF(H314&lt;&gt;"",H314,G314)</f>
        <v/>
      </c>
      <c r="J314" s="5"/>
      <c r="K314" s="6"/>
    </row>
    <row r="315" spans="1:11">
      <c r="A315" s="9"/>
      <c r="B315" s="10" t="str">
        <f>IF(A315="","",YEAR(A315)&amp;"/"&amp;RIGHT("0"&amp;MONTH(A315),2))</f>
        <v/>
      </c>
      <c r="C315" s="5"/>
      <c r="D315" s="11"/>
      <c r="E315" s="11"/>
      <c r="F315" s="12"/>
      <c r="G315" s="13" t="str">
        <f>IF(OR(D315="",E315=""),"",ROUND(MOD(E315-D315,1)*24-F315,2))</f>
        <v/>
      </c>
      <c r="H315" s="12"/>
      <c r="I315" s="13" t="str">
        <f>IF(H315&lt;&gt;"",H315,G315)</f>
        <v/>
      </c>
      <c r="J315" s="5"/>
      <c r="K315" s="6"/>
    </row>
    <row r="316" spans="1:11">
      <c r="A316" s="9"/>
      <c r="B316" s="10" t="str">
        <f>IF(A316="","",YEAR(A316)&amp;"/"&amp;RIGHT("0"&amp;MONTH(A316),2))</f>
        <v/>
      </c>
      <c r="C316" s="5"/>
      <c r="D316" s="11"/>
      <c r="E316" s="11"/>
      <c r="F316" s="12"/>
      <c r="G316" s="13" t="str">
        <f>IF(OR(D316="",E316=""),"",ROUND(MOD(E316-D316,1)*24-F316,2))</f>
        <v/>
      </c>
      <c r="H316" s="12"/>
      <c r="I316" s="13" t="str">
        <f>IF(H316&lt;&gt;"",H316,G316)</f>
        <v/>
      </c>
      <c r="J316" s="5"/>
      <c r="K316" s="6"/>
    </row>
    <row r="317" spans="1:11">
      <c r="A317" s="9"/>
      <c r="B317" s="10" t="str">
        <f>IF(A317="","",YEAR(A317)&amp;"/"&amp;RIGHT("0"&amp;MONTH(A317),2))</f>
        <v/>
      </c>
      <c r="C317" s="5"/>
      <c r="D317" s="11"/>
      <c r="E317" s="11"/>
      <c r="F317" s="12"/>
      <c r="G317" s="13" t="str">
        <f>IF(OR(D317="",E317=""),"",ROUND(MOD(E317-D317,1)*24-F317,2))</f>
        <v/>
      </c>
      <c r="H317" s="12"/>
      <c r="I317" s="13" t="str">
        <f>IF(H317&lt;&gt;"",H317,G317)</f>
        <v/>
      </c>
      <c r="J317" s="5"/>
      <c r="K317" s="6"/>
    </row>
    <row r="318" spans="1:11">
      <c r="A318" s="9"/>
      <c r="B318" s="10" t="str">
        <f>IF(A318="","",YEAR(A318)&amp;"/"&amp;RIGHT("0"&amp;MONTH(A318),2))</f>
        <v/>
      </c>
      <c r="C318" s="5"/>
      <c r="D318" s="11"/>
      <c r="E318" s="11"/>
      <c r="F318" s="12"/>
      <c r="G318" s="13" t="str">
        <f>IF(OR(D318="",E318=""),"",ROUND(MOD(E318-D318,1)*24-F318,2))</f>
        <v/>
      </c>
      <c r="H318" s="12"/>
      <c r="I318" s="13" t="str">
        <f>IF(H318&lt;&gt;"",H318,G318)</f>
        <v/>
      </c>
      <c r="J318" s="5"/>
      <c r="K318" s="6"/>
    </row>
    <row r="319" spans="1:11">
      <c r="A319" s="9"/>
      <c r="B319" s="10" t="str">
        <f>IF(A319="","",YEAR(A319)&amp;"/"&amp;RIGHT("0"&amp;MONTH(A319),2))</f>
        <v/>
      </c>
      <c r="C319" s="5"/>
      <c r="D319" s="11"/>
      <c r="E319" s="11"/>
      <c r="F319" s="12"/>
      <c r="G319" s="13" t="str">
        <f>IF(OR(D319="",E319=""),"",ROUND(MOD(E319-D319,1)*24-F319,2))</f>
        <v/>
      </c>
      <c r="H319" s="12"/>
      <c r="I319" s="13" t="str">
        <f>IF(H319&lt;&gt;"",H319,G319)</f>
        <v/>
      </c>
      <c r="J319" s="5"/>
      <c r="K319" s="6"/>
    </row>
    <row r="320" spans="1:11">
      <c r="A320" s="9"/>
      <c r="B320" s="10" t="str">
        <f>IF(A320="","",YEAR(A320)&amp;"/"&amp;RIGHT("0"&amp;MONTH(A320),2))</f>
        <v/>
      </c>
      <c r="C320" s="5"/>
      <c r="D320" s="11"/>
      <c r="E320" s="11"/>
      <c r="F320" s="12"/>
      <c r="G320" s="13" t="str">
        <f>IF(OR(D320="",E320=""),"",ROUND(MOD(E320-D320,1)*24-F320,2))</f>
        <v/>
      </c>
      <c r="H320" s="12"/>
      <c r="I320" s="13" t="str">
        <f>IF(H320&lt;&gt;"",H320,G320)</f>
        <v/>
      </c>
      <c r="J320" s="5"/>
      <c r="K320" s="6"/>
    </row>
    <row r="321" spans="1:11">
      <c r="A321" s="9"/>
      <c r="B321" s="10" t="str">
        <f>IF(A321="","",YEAR(A321)&amp;"/"&amp;RIGHT("0"&amp;MONTH(A321),2))</f>
        <v/>
      </c>
      <c r="C321" s="5"/>
      <c r="D321" s="11"/>
      <c r="E321" s="11"/>
      <c r="F321" s="12"/>
      <c r="G321" s="13" t="str">
        <f>IF(OR(D321="",E321=""),"",ROUND(MOD(E321-D321,1)*24-F321,2))</f>
        <v/>
      </c>
      <c r="H321" s="12"/>
      <c r="I321" s="13" t="str">
        <f>IF(H321&lt;&gt;"",H321,G321)</f>
        <v/>
      </c>
      <c r="J321" s="5"/>
      <c r="K321" s="6"/>
    </row>
    <row r="322" spans="1:11">
      <c r="A322" s="9"/>
      <c r="B322" s="10" t="str">
        <f>IF(A322="","",YEAR(A322)&amp;"/"&amp;RIGHT("0"&amp;MONTH(A322),2))</f>
        <v/>
      </c>
      <c r="C322" s="5"/>
      <c r="D322" s="11"/>
      <c r="E322" s="11"/>
      <c r="F322" s="12"/>
      <c r="G322" s="13" t="str">
        <f>IF(OR(D322="",E322=""),"",ROUND(MOD(E322-D322,1)*24-F322,2))</f>
        <v/>
      </c>
      <c r="H322" s="12"/>
      <c r="I322" s="13" t="str">
        <f>IF(H322&lt;&gt;"",H322,G322)</f>
        <v/>
      </c>
      <c r="J322" s="5"/>
      <c r="K322" s="6"/>
    </row>
    <row r="323" spans="1:11">
      <c r="A323" s="9"/>
      <c r="B323" s="10" t="str">
        <f>IF(A323="","",YEAR(A323)&amp;"/"&amp;RIGHT("0"&amp;MONTH(A323),2))</f>
        <v/>
      </c>
      <c r="C323" s="5"/>
      <c r="D323" s="11"/>
      <c r="E323" s="11"/>
      <c r="F323" s="12"/>
      <c r="G323" s="13" t="str">
        <f>IF(OR(D323="",E323=""),"",ROUND(MOD(E323-D323,1)*24-F323,2))</f>
        <v/>
      </c>
      <c r="H323" s="12"/>
      <c r="I323" s="13" t="str">
        <f>IF(H323&lt;&gt;"",H323,G323)</f>
        <v/>
      </c>
      <c r="J323" s="5"/>
      <c r="K323" s="6"/>
    </row>
    <row r="324" spans="1:11">
      <c r="A324" s="9"/>
      <c r="B324" s="10" t="str">
        <f>IF(A324="","",YEAR(A324)&amp;"/"&amp;RIGHT("0"&amp;MONTH(A324),2))</f>
        <v/>
      </c>
      <c r="C324" s="5"/>
      <c r="D324" s="11"/>
      <c r="E324" s="11"/>
      <c r="F324" s="12"/>
      <c r="G324" s="13" t="str">
        <f>IF(OR(D324="",E324=""),"",ROUND(MOD(E324-D324,1)*24-F324,2))</f>
        <v/>
      </c>
      <c r="H324" s="12"/>
      <c r="I324" s="13" t="str">
        <f>IF(H324&lt;&gt;"",H324,G324)</f>
        <v/>
      </c>
      <c r="J324" s="5"/>
      <c r="K324" s="6"/>
    </row>
    <row r="325" spans="1:11">
      <c r="A325" s="9"/>
      <c r="B325" s="10" t="str">
        <f>IF(A325="","",YEAR(A325)&amp;"/"&amp;RIGHT("0"&amp;MONTH(A325),2))</f>
        <v/>
      </c>
      <c r="C325" s="5"/>
      <c r="D325" s="11"/>
      <c r="E325" s="11"/>
      <c r="F325" s="12"/>
      <c r="G325" s="13" t="str">
        <f>IF(OR(D325="",E325=""),"",ROUND(MOD(E325-D325,1)*24-F325,2))</f>
        <v/>
      </c>
      <c r="H325" s="12"/>
      <c r="I325" s="13" t="str">
        <f>IF(H325&lt;&gt;"",H325,G325)</f>
        <v/>
      </c>
      <c r="J325" s="5"/>
      <c r="K325" s="6"/>
    </row>
    <row r="326" spans="1:11">
      <c r="A326" s="9"/>
      <c r="B326" s="10" t="str">
        <f>IF(A326="","",YEAR(A326)&amp;"/"&amp;RIGHT("0"&amp;MONTH(A326),2))</f>
        <v/>
      </c>
      <c r="C326" s="5"/>
      <c r="D326" s="11"/>
      <c r="E326" s="11"/>
      <c r="F326" s="12"/>
      <c r="G326" s="13" t="str">
        <f>IF(OR(D326="",E326=""),"",ROUND(MOD(E326-D326,1)*24-F326,2))</f>
        <v/>
      </c>
      <c r="H326" s="12"/>
      <c r="I326" s="13" t="str">
        <f>IF(H326&lt;&gt;"",H326,G326)</f>
        <v/>
      </c>
      <c r="J326" s="5"/>
      <c r="K326" s="6"/>
    </row>
    <row r="327" spans="1:11">
      <c r="A327" s="9"/>
      <c r="B327" s="10" t="str">
        <f>IF(A327="","",YEAR(A327)&amp;"/"&amp;RIGHT("0"&amp;MONTH(A327),2))</f>
        <v/>
      </c>
      <c r="C327" s="5"/>
      <c r="D327" s="11"/>
      <c r="E327" s="11"/>
      <c r="F327" s="12"/>
      <c r="G327" s="13" t="str">
        <f>IF(OR(D327="",E327=""),"",ROUND(MOD(E327-D327,1)*24-F327,2))</f>
        <v/>
      </c>
      <c r="H327" s="12"/>
      <c r="I327" s="13" t="str">
        <f>IF(H327&lt;&gt;"",H327,G327)</f>
        <v/>
      </c>
      <c r="J327" s="5"/>
      <c r="K327" s="6"/>
    </row>
    <row r="328" spans="1:11">
      <c r="A328" s="9"/>
      <c r="B328" s="10" t="str">
        <f>IF(A328="","",YEAR(A328)&amp;"/"&amp;RIGHT("0"&amp;MONTH(A328),2))</f>
        <v/>
      </c>
      <c r="C328" s="5"/>
      <c r="D328" s="11"/>
      <c r="E328" s="11"/>
      <c r="F328" s="12"/>
      <c r="G328" s="13" t="str">
        <f>IF(OR(D328="",E328=""),"",ROUND(MOD(E328-D328,1)*24-F328,2))</f>
        <v/>
      </c>
      <c r="H328" s="12"/>
      <c r="I328" s="13" t="str">
        <f>IF(H328&lt;&gt;"",H328,G328)</f>
        <v/>
      </c>
      <c r="J328" s="5"/>
      <c r="K328" s="6"/>
    </row>
    <row r="329" spans="1:11">
      <c r="A329" s="9"/>
      <c r="B329" s="10" t="str">
        <f>IF(A329="","",YEAR(A329)&amp;"/"&amp;RIGHT("0"&amp;MONTH(A329),2))</f>
        <v/>
      </c>
      <c r="C329" s="5"/>
      <c r="D329" s="11"/>
      <c r="E329" s="11"/>
      <c r="F329" s="12"/>
      <c r="G329" s="13" t="str">
        <f>IF(OR(D329="",E329=""),"",ROUND(MOD(E329-D329,1)*24-F329,2))</f>
        <v/>
      </c>
      <c r="H329" s="12"/>
      <c r="I329" s="13" t="str">
        <f>IF(H329&lt;&gt;"",H329,G329)</f>
        <v/>
      </c>
      <c r="J329" s="5"/>
      <c r="K329" s="6"/>
    </row>
    <row r="330" spans="1:11">
      <c r="A330" s="9"/>
      <c r="B330" s="10" t="str">
        <f>IF(A330="","",YEAR(A330)&amp;"/"&amp;RIGHT("0"&amp;MONTH(A330),2))</f>
        <v/>
      </c>
      <c r="C330" s="5"/>
      <c r="D330" s="11"/>
      <c r="E330" s="11"/>
      <c r="F330" s="12"/>
      <c r="G330" s="13" t="str">
        <f>IF(OR(D330="",E330=""),"",ROUND(MOD(E330-D330,1)*24-F330,2))</f>
        <v/>
      </c>
      <c r="H330" s="12"/>
      <c r="I330" s="13" t="str">
        <f>IF(H330&lt;&gt;"",H330,G330)</f>
        <v/>
      </c>
      <c r="J330" s="5"/>
      <c r="K330" s="6"/>
    </row>
    <row r="331" spans="1:11">
      <c r="A331" s="9"/>
      <c r="B331" s="10" t="str">
        <f>IF(A331="","",YEAR(A331)&amp;"/"&amp;RIGHT("0"&amp;MONTH(A331),2))</f>
        <v/>
      </c>
      <c r="C331" s="5"/>
      <c r="D331" s="11"/>
      <c r="E331" s="11"/>
      <c r="F331" s="12"/>
      <c r="G331" s="13" t="str">
        <f>IF(OR(D331="",E331=""),"",ROUND(MOD(E331-D331,1)*24-F331,2))</f>
        <v/>
      </c>
      <c r="H331" s="12"/>
      <c r="I331" s="13" t="str">
        <f>IF(H331&lt;&gt;"",H331,G331)</f>
        <v/>
      </c>
      <c r="J331" s="5"/>
      <c r="K331" s="6"/>
    </row>
    <row r="332" spans="1:11">
      <c r="A332" s="9"/>
      <c r="B332" s="10" t="str">
        <f>IF(A332="","",YEAR(A332)&amp;"/"&amp;RIGHT("0"&amp;MONTH(A332),2))</f>
        <v/>
      </c>
      <c r="C332" s="5"/>
      <c r="D332" s="11"/>
      <c r="E332" s="11"/>
      <c r="F332" s="12"/>
      <c r="G332" s="13" t="str">
        <f>IF(OR(D332="",E332=""),"",ROUND(MOD(E332-D332,1)*24-F332,2))</f>
        <v/>
      </c>
      <c r="H332" s="12"/>
      <c r="I332" s="13" t="str">
        <f>IF(H332&lt;&gt;"",H332,G332)</f>
        <v/>
      </c>
      <c r="J332" s="5"/>
      <c r="K332" s="6"/>
    </row>
    <row r="333" spans="1:11">
      <c r="A333" s="9"/>
      <c r="B333" s="10" t="str">
        <f>IF(A333="","",YEAR(A333)&amp;"/"&amp;RIGHT("0"&amp;MONTH(A333),2))</f>
        <v/>
      </c>
      <c r="C333" s="5"/>
      <c r="D333" s="11"/>
      <c r="E333" s="11"/>
      <c r="F333" s="12"/>
      <c r="G333" s="13" t="str">
        <f>IF(OR(D333="",E333=""),"",ROUND(MOD(E333-D333,1)*24-F333,2))</f>
        <v/>
      </c>
      <c r="H333" s="12"/>
      <c r="I333" s="13" t="str">
        <f>IF(H333&lt;&gt;"",H333,G333)</f>
        <v/>
      </c>
      <c r="J333" s="5"/>
      <c r="K333" s="6"/>
    </row>
    <row r="334" spans="1:11">
      <c r="A334" s="9"/>
      <c r="B334" s="10" t="str">
        <f>IF(A334="","",YEAR(A334)&amp;"/"&amp;RIGHT("0"&amp;MONTH(A334),2))</f>
        <v/>
      </c>
      <c r="C334" s="5"/>
      <c r="D334" s="11"/>
      <c r="E334" s="11"/>
      <c r="F334" s="12"/>
      <c r="G334" s="13" t="str">
        <f>IF(OR(D334="",E334=""),"",ROUND(MOD(E334-D334,1)*24-F334,2))</f>
        <v/>
      </c>
      <c r="H334" s="12"/>
      <c r="I334" s="13" t="str">
        <f>IF(H334&lt;&gt;"",H334,G334)</f>
        <v/>
      </c>
      <c r="J334" s="5"/>
      <c r="K334" s="6"/>
    </row>
    <row r="335" spans="1:11">
      <c r="A335" s="9"/>
      <c r="B335" s="10" t="str">
        <f>IF(A335="","",YEAR(A335)&amp;"/"&amp;RIGHT("0"&amp;MONTH(A335),2))</f>
        <v/>
      </c>
      <c r="C335" s="5"/>
      <c r="D335" s="11"/>
      <c r="E335" s="11"/>
      <c r="F335" s="12"/>
      <c r="G335" s="13" t="str">
        <f>IF(OR(D335="",E335=""),"",ROUND(MOD(E335-D335,1)*24-F335,2))</f>
        <v/>
      </c>
      <c r="H335" s="12"/>
      <c r="I335" s="13" t="str">
        <f>IF(H335&lt;&gt;"",H335,G335)</f>
        <v/>
      </c>
      <c r="J335" s="5"/>
      <c r="K335" s="6"/>
    </row>
    <row r="336" spans="1:11">
      <c r="A336" s="9"/>
      <c r="B336" s="10" t="str">
        <f>IF(A336="","",YEAR(A336)&amp;"/"&amp;RIGHT("0"&amp;MONTH(A336),2))</f>
        <v/>
      </c>
      <c r="C336" s="5"/>
      <c r="D336" s="11"/>
      <c r="E336" s="11"/>
      <c r="F336" s="12"/>
      <c r="G336" s="13" t="str">
        <f>IF(OR(D336="",E336=""),"",ROUND(MOD(E336-D336,1)*24-F336,2))</f>
        <v/>
      </c>
      <c r="H336" s="12"/>
      <c r="I336" s="13" t="str">
        <f>IF(H336&lt;&gt;"",H336,G336)</f>
        <v/>
      </c>
      <c r="J336" s="5"/>
      <c r="K336" s="6"/>
    </row>
    <row r="337" spans="1:11">
      <c r="A337" s="9"/>
      <c r="B337" s="10" t="str">
        <f>IF(A337="","",YEAR(A337)&amp;"/"&amp;RIGHT("0"&amp;MONTH(A337),2))</f>
        <v/>
      </c>
      <c r="C337" s="5"/>
      <c r="D337" s="11"/>
      <c r="E337" s="11"/>
      <c r="F337" s="12"/>
      <c r="G337" s="13" t="str">
        <f>IF(OR(D337="",E337=""),"",ROUND(MOD(E337-D337,1)*24-F337,2))</f>
        <v/>
      </c>
      <c r="H337" s="12"/>
      <c r="I337" s="13" t="str">
        <f>IF(H337&lt;&gt;"",H337,G337)</f>
        <v/>
      </c>
      <c r="J337" s="5"/>
      <c r="K337" s="6"/>
    </row>
    <row r="338" spans="1:11">
      <c r="A338" s="9"/>
      <c r="B338" s="10" t="str">
        <f>IF(A338="","",YEAR(A338)&amp;"/"&amp;RIGHT("0"&amp;MONTH(A338),2))</f>
        <v/>
      </c>
      <c r="C338" s="5"/>
      <c r="D338" s="11"/>
      <c r="E338" s="11"/>
      <c r="F338" s="12"/>
      <c r="G338" s="13" t="str">
        <f>IF(OR(D338="",E338=""),"",ROUND(MOD(E338-D338,1)*24-F338,2))</f>
        <v/>
      </c>
      <c r="H338" s="12"/>
      <c r="I338" s="13" t="str">
        <f>IF(H338&lt;&gt;"",H338,G338)</f>
        <v/>
      </c>
      <c r="J338" s="5"/>
      <c r="K338" s="6"/>
    </row>
    <row r="339" spans="1:11">
      <c r="A339" s="9"/>
      <c r="B339" s="10" t="str">
        <f>IF(A339="","",YEAR(A339)&amp;"/"&amp;RIGHT("0"&amp;MONTH(A339),2))</f>
        <v/>
      </c>
      <c r="C339" s="5"/>
      <c r="D339" s="11"/>
      <c r="E339" s="11"/>
      <c r="F339" s="12"/>
      <c r="G339" s="13" t="str">
        <f>IF(OR(D339="",E339=""),"",ROUND(MOD(E339-D339,1)*24-F339,2))</f>
        <v/>
      </c>
      <c r="H339" s="12"/>
      <c r="I339" s="13" t="str">
        <f>IF(H339&lt;&gt;"",H339,G339)</f>
        <v/>
      </c>
      <c r="J339" s="5"/>
      <c r="K339" s="6"/>
    </row>
    <row r="340" spans="1:11">
      <c r="A340" s="9"/>
      <c r="B340" s="10" t="str">
        <f>IF(A340="","",YEAR(A340)&amp;"/"&amp;RIGHT("0"&amp;MONTH(A340),2))</f>
        <v/>
      </c>
      <c r="C340" s="5"/>
      <c r="D340" s="11"/>
      <c r="E340" s="11"/>
      <c r="F340" s="12"/>
      <c r="G340" s="13" t="str">
        <f>IF(OR(D340="",E340=""),"",ROUND(MOD(E340-D340,1)*24-F340,2))</f>
        <v/>
      </c>
      <c r="H340" s="12"/>
      <c r="I340" s="13" t="str">
        <f>IF(H340&lt;&gt;"",H340,G340)</f>
        <v/>
      </c>
      <c r="J340" s="5"/>
      <c r="K340" s="6"/>
    </row>
    <row r="341" spans="1:11">
      <c r="A341" s="9"/>
      <c r="B341" s="10" t="str">
        <f>IF(A341="","",YEAR(A341)&amp;"/"&amp;RIGHT("0"&amp;MONTH(A341),2))</f>
        <v/>
      </c>
      <c r="C341" s="5"/>
      <c r="D341" s="11"/>
      <c r="E341" s="11"/>
      <c r="F341" s="12"/>
      <c r="G341" s="13" t="str">
        <f>IF(OR(D341="",E341=""),"",ROUND(MOD(E341-D341,1)*24-F341,2))</f>
        <v/>
      </c>
      <c r="H341" s="12"/>
      <c r="I341" s="13" t="str">
        <f>IF(H341&lt;&gt;"",H341,G341)</f>
        <v/>
      </c>
      <c r="J341" s="5"/>
      <c r="K341" s="6"/>
    </row>
    <row r="342" spans="1:11">
      <c r="A342" s="9"/>
      <c r="B342" s="10" t="str">
        <f>IF(A342="","",YEAR(A342)&amp;"/"&amp;RIGHT("0"&amp;MONTH(A342),2))</f>
        <v/>
      </c>
      <c r="C342" s="5"/>
      <c r="D342" s="11"/>
      <c r="E342" s="11"/>
      <c r="F342" s="12"/>
      <c r="G342" s="13" t="str">
        <f>IF(OR(D342="",E342=""),"",ROUND(MOD(E342-D342,1)*24-F342,2))</f>
        <v/>
      </c>
      <c r="H342" s="12"/>
      <c r="I342" s="13" t="str">
        <f>IF(H342&lt;&gt;"",H342,G342)</f>
        <v/>
      </c>
      <c r="J342" s="5"/>
      <c r="K342" s="6"/>
    </row>
    <row r="343" spans="1:11">
      <c r="A343" s="9"/>
      <c r="B343" s="10" t="str">
        <f>IF(A343="","",YEAR(A343)&amp;"/"&amp;RIGHT("0"&amp;MONTH(A343),2))</f>
        <v/>
      </c>
      <c r="C343" s="5"/>
      <c r="D343" s="11"/>
      <c r="E343" s="11"/>
      <c r="F343" s="12"/>
      <c r="G343" s="13" t="str">
        <f>IF(OR(D343="",E343=""),"",ROUND(MOD(E343-D343,1)*24-F343,2))</f>
        <v/>
      </c>
      <c r="H343" s="12"/>
      <c r="I343" s="13" t="str">
        <f>IF(H343&lt;&gt;"",H343,G343)</f>
        <v/>
      </c>
      <c r="J343" s="5"/>
      <c r="K343" s="6"/>
    </row>
    <row r="344" spans="1:11">
      <c r="A344" s="9"/>
      <c r="B344" s="10" t="str">
        <f>IF(A344="","",YEAR(A344)&amp;"/"&amp;RIGHT("0"&amp;MONTH(A344),2))</f>
        <v/>
      </c>
      <c r="C344" s="5"/>
      <c r="D344" s="11"/>
      <c r="E344" s="11"/>
      <c r="F344" s="12"/>
      <c r="G344" s="13" t="str">
        <f>IF(OR(D344="",E344=""),"",ROUND(MOD(E344-D344,1)*24-F344,2))</f>
        <v/>
      </c>
      <c r="H344" s="12"/>
      <c r="I344" s="13" t="str">
        <f>IF(H344&lt;&gt;"",H344,G344)</f>
        <v/>
      </c>
      <c r="J344" s="5"/>
      <c r="K344" s="6"/>
    </row>
    <row r="345" spans="1:11">
      <c r="A345" s="9"/>
      <c r="B345" s="10" t="str">
        <f>IF(A345="","",YEAR(A345)&amp;"/"&amp;RIGHT("0"&amp;MONTH(A345),2))</f>
        <v/>
      </c>
      <c r="C345" s="5"/>
      <c r="D345" s="11"/>
      <c r="E345" s="11"/>
      <c r="F345" s="12"/>
      <c r="G345" s="13" t="str">
        <f>IF(OR(D345="",E345=""),"",ROUND(MOD(E345-D345,1)*24-F345,2))</f>
        <v/>
      </c>
      <c r="H345" s="12"/>
      <c r="I345" s="13" t="str">
        <f>IF(H345&lt;&gt;"",H345,G345)</f>
        <v/>
      </c>
      <c r="J345" s="5"/>
      <c r="K345" s="6"/>
    </row>
    <row r="346" spans="1:11">
      <c r="A346" s="9"/>
      <c r="B346" s="10" t="str">
        <f>IF(A346="","",YEAR(A346)&amp;"/"&amp;RIGHT("0"&amp;MONTH(A346),2))</f>
        <v/>
      </c>
      <c r="C346" s="5"/>
      <c r="D346" s="11"/>
      <c r="E346" s="11"/>
      <c r="F346" s="12"/>
      <c r="G346" s="13" t="str">
        <f>IF(OR(D346="",E346=""),"",ROUND(MOD(E346-D346,1)*24-F346,2))</f>
        <v/>
      </c>
      <c r="H346" s="12"/>
      <c r="I346" s="13" t="str">
        <f>IF(H346&lt;&gt;"",H346,G346)</f>
        <v/>
      </c>
      <c r="J346" s="5"/>
      <c r="K346" s="6"/>
    </row>
    <row r="347" spans="1:11">
      <c r="A347" s="9"/>
      <c r="B347" s="10" t="str">
        <f>IF(A347="","",YEAR(A347)&amp;"/"&amp;RIGHT("0"&amp;MONTH(A347),2))</f>
        <v/>
      </c>
      <c r="C347" s="5"/>
      <c r="D347" s="11"/>
      <c r="E347" s="11"/>
      <c r="F347" s="12"/>
      <c r="G347" s="13" t="str">
        <f>IF(OR(D347="",E347=""),"",ROUND(MOD(E347-D347,1)*24-F347,2))</f>
        <v/>
      </c>
      <c r="H347" s="12"/>
      <c r="I347" s="13" t="str">
        <f>IF(H347&lt;&gt;"",H347,G347)</f>
        <v/>
      </c>
      <c r="J347" s="5"/>
      <c r="K347" s="6"/>
    </row>
    <row r="348" spans="1:11">
      <c r="A348" s="9"/>
      <c r="B348" s="10" t="str">
        <f>IF(A348="","",YEAR(A348)&amp;"/"&amp;RIGHT("0"&amp;MONTH(A348),2))</f>
        <v/>
      </c>
      <c r="C348" s="5"/>
      <c r="D348" s="11"/>
      <c r="E348" s="11"/>
      <c r="F348" s="12"/>
      <c r="G348" s="13" t="str">
        <f>IF(OR(D348="",E348=""),"",ROUND(MOD(E348-D348,1)*24-F348,2))</f>
        <v/>
      </c>
      <c r="H348" s="12"/>
      <c r="I348" s="13" t="str">
        <f>IF(H348&lt;&gt;"",H348,G348)</f>
        <v/>
      </c>
      <c r="J348" s="5"/>
      <c r="K348" s="6"/>
    </row>
    <row r="349" spans="1:11">
      <c r="A349" s="9"/>
      <c r="B349" s="10" t="str">
        <f>IF(A349="","",YEAR(A349)&amp;"/"&amp;RIGHT("0"&amp;MONTH(A349),2))</f>
        <v/>
      </c>
      <c r="C349" s="5"/>
      <c r="D349" s="11"/>
      <c r="E349" s="11"/>
      <c r="F349" s="12"/>
      <c r="G349" s="13" t="str">
        <f>IF(OR(D349="",E349=""),"",ROUND(MOD(E349-D349,1)*24-F349,2))</f>
        <v/>
      </c>
      <c r="H349" s="12"/>
      <c r="I349" s="13" t="str">
        <f>IF(H349&lt;&gt;"",H349,G349)</f>
        <v/>
      </c>
      <c r="J349" s="5"/>
      <c r="K349" s="6"/>
    </row>
    <row r="350" spans="1:11">
      <c r="A350" s="9"/>
      <c r="B350" s="10" t="str">
        <f>IF(A350="","",YEAR(A350)&amp;"/"&amp;RIGHT("0"&amp;MONTH(A350),2))</f>
        <v/>
      </c>
      <c r="C350" s="5"/>
      <c r="D350" s="11"/>
      <c r="E350" s="11"/>
      <c r="F350" s="12"/>
      <c r="G350" s="13" t="str">
        <f>IF(OR(D350="",E350=""),"",ROUND(MOD(E350-D350,1)*24-F350,2))</f>
        <v/>
      </c>
      <c r="H350" s="12"/>
      <c r="I350" s="13" t="str">
        <f>IF(H350&lt;&gt;"",H350,G350)</f>
        <v/>
      </c>
      <c r="J350" s="5"/>
      <c r="K350" s="6"/>
    </row>
    <row r="351" spans="1:11">
      <c r="A351" s="9"/>
      <c r="B351" s="10" t="str">
        <f>IF(A351="","",YEAR(A351)&amp;"/"&amp;RIGHT("0"&amp;MONTH(A351),2))</f>
        <v/>
      </c>
      <c r="C351" s="5"/>
      <c r="D351" s="11"/>
      <c r="E351" s="11"/>
      <c r="F351" s="12"/>
      <c r="G351" s="13" t="str">
        <f>IF(OR(D351="",E351=""),"",ROUND(MOD(E351-D351,1)*24-F351,2))</f>
        <v/>
      </c>
      <c r="H351" s="12"/>
      <c r="I351" s="13" t="str">
        <f>IF(H351&lt;&gt;"",H351,G351)</f>
        <v/>
      </c>
      <c r="J351" s="5"/>
      <c r="K351" s="6"/>
    </row>
    <row r="352" spans="1:11">
      <c r="A352" s="9"/>
      <c r="B352" s="10" t="str">
        <f>IF(A352="","",YEAR(A352)&amp;"/"&amp;RIGHT("0"&amp;MONTH(A352),2))</f>
        <v/>
      </c>
      <c r="C352" s="5"/>
      <c r="D352" s="11"/>
      <c r="E352" s="11"/>
      <c r="F352" s="12"/>
      <c r="G352" s="13" t="str">
        <f>IF(OR(D352="",E352=""),"",ROUND(MOD(E352-D352,1)*24-F352,2))</f>
        <v/>
      </c>
      <c r="H352" s="12"/>
      <c r="I352" s="13" t="str">
        <f>IF(H352&lt;&gt;"",H352,G352)</f>
        <v/>
      </c>
      <c r="J352" s="5"/>
      <c r="K352" s="6"/>
    </row>
    <row r="353" spans="1:11">
      <c r="A353" s="9"/>
      <c r="B353" s="10" t="str">
        <f>IF(A353="","",YEAR(A353)&amp;"/"&amp;RIGHT("0"&amp;MONTH(A353),2))</f>
        <v/>
      </c>
      <c r="C353" s="5"/>
      <c r="D353" s="11"/>
      <c r="E353" s="11"/>
      <c r="F353" s="12"/>
      <c r="G353" s="13" t="str">
        <f>IF(OR(D353="",E353=""),"",ROUND(MOD(E353-D353,1)*24-F353,2))</f>
        <v/>
      </c>
      <c r="H353" s="12"/>
      <c r="I353" s="13" t="str">
        <f>IF(H353&lt;&gt;"",H353,G353)</f>
        <v/>
      </c>
      <c r="J353" s="5"/>
      <c r="K353" s="6"/>
    </row>
    <row r="354" spans="1:11">
      <c r="A354" s="9"/>
      <c r="B354" s="10" t="str">
        <f>IF(A354="","",YEAR(A354)&amp;"/"&amp;RIGHT("0"&amp;MONTH(A354),2))</f>
        <v/>
      </c>
      <c r="C354" s="5"/>
      <c r="D354" s="11"/>
      <c r="E354" s="11"/>
      <c r="F354" s="12"/>
      <c r="G354" s="13" t="str">
        <f>IF(OR(D354="",E354=""),"",ROUND(MOD(E354-D354,1)*24-F354,2))</f>
        <v/>
      </c>
      <c r="H354" s="12"/>
      <c r="I354" s="13" t="str">
        <f>IF(H354&lt;&gt;"",H354,G354)</f>
        <v/>
      </c>
      <c r="J354" s="5"/>
      <c r="K354" s="6"/>
    </row>
    <row r="355" spans="1:11">
      <c r="A355" s="9"/>
      <c r="B355" s="10" t="str">
        <f>IF(A355="","",YEAR(A355)&amp;"/"&amp;RIGHT("0"&amp;MONTH(A355),2))</f>
        <v/>
      </c>
      <c r="C355" s="5"/>
      <c r="D355" s="11"/>
      <c r="E355" s="11"/>
      <c r="F355" s="12"/>
      <c r="G355" s="13" t="str">
        <f>IF(OR(D355="",E355=""),"",ROUND(MOD(E355-D355,1)*24-F355,2))</f>
        <v/>
      </c>
      <c r="H355" s="12"/>
      <c r="I355" s="13" t="str">
        <f>IF(H355&lt;&gt;"",H355,G355)</f>
        <v/>
      </c>
      <c r="J355" s="5"/>
      <c r="K355" s="6"/>
    </row>
    <row r="356" spans="1:11">
      <c r="A356" s="9"/>
      <c r="B356" s="10" t="str">
        <f>IF(A356="","",YEAR(A356)&amp;"/"&amp;RIGHT("0"&amp;MONTH(A356),2))</f>
        <v/>
      </c>
      <c r="C356" s="5"/>
      <c r="D356" s="11"/>
      <c r="E356" s="11"/>
      <c r="F356" s="12"/>
      <c r="G356" s="13" t="str">
        <f>IF(OR(D356="",E356=""),"",ROUND(MOD(E356-D356,1)*24-F356,2))</f>
        <v/>
      </c>
      <c r="H356" s="12"/>
      <c r="I356" s="13" t="str">
        <f>IF(H356&lt;&gt;"",H356,G356)</f>
        <v/>
      </c>
      <c r="J356" s="5"/>
      <c r="K356" s="6"/>
    </row>
    <row r="357" spans="1:11">
      <c r="A357" s="9"/>
      <c r="B357" s="10" t="str">
        <f>IF(A357="","",YEAR(A357)&amp;"/"&amp;RIGHT("0"&amp;MONTH(A357),2))</f>
        <v/>
      </c>
      <c r="C357" s="5"/>
      <c r="D357" s="11"/>
      <c r="E357" s="11"/>
      <c r="F357" s="12"/>
      <c r="G357" s="13" t="str">
        <f>IF(OR(D357="",E357=""),"",ROUND(MOD(E357-D357,1)*24-F357,2))</f>
        <v/>
      </c>
      <c r="H357" s="12"/>
      <c r="I357" s="13" t="str">
        <f>IF(H357&lt;&gt;"",H357,G357)</f>
        <v/>
      </c>
      <c r="J357" s="5"/>
      <c r="K357" s="6"/>
    </row>
    <row r="358" spans="1:11">
      <c r="A358" s="9"/>
      <c r="B358" s="10" t="str">
        <f>IF(A358="","",YEAR(A358)&amp;"/"&amp;RIGHT("0"&amp;MONTH(A358),2))</f>
        <v/>
      </c>
      <c r="C358" s="5"/>
      <c r="D358" s="11"/>
      <c r="E358" s="11"/>
      <c r="F358" s="12"/>
      <c r="G358" s="13" t="str">
        <f>IF(OR(D358="",E358=""),"",ROUND(MOD(E358-D358,1)*24-F358,2))</f>
        <v/>
      </c>
      <c r="H358" s="12"/>
      <c r="I358" s="13" t="str">
        <f>IF(H358&lt;&gt;"",H358,G358)</f>
        <v/>
      </c>
      <c r="J358" s="5"/>
      <c r="K358" s="6"/>
    </row>
    <row r="359" spans="1:11">
      <c r="A359" s="9"/>
      <c r="B359" s="10" t="str">
        <f>IF(A359="","",YEAR(A359)&amp;"/"&amp;RIGHT("0"&amp;MONTH(A359),2))</f>
        <v/>
      </c>
      <c r="C359" s="5"/>
      <c r="D359" s="11"/>
      <c r="E359" s="11"/>
      <c r="F359" s="12"/>
      <c r="G359" s="13" t="str">
        <f>IF(OR(D359="",E359=""),"",ROUND(MOD(E359-D359,1)*24-F359,2))</f>
        <v/>
      </c>
      <c r="H359" s="12"/>
      <c r="I359" s="13" t="str">
        <f>IF(H359&lt;&gt;"",H359,G359)</f>
        <v/>
      </c>
      <c r="J359" s="5"/>
      <c r="K359" s="6"/>
    </row>
    <row r="360" spans="1:11">
      <c r="A360" s="9"/>
      <c r="B360" s="10" t="str">
        <f>IF(A360="","",YEAR(A360)&amp;"/"&amp;RIGHT("0"&amp;MONTH(A360),2))</f>
        <v/>
      </c>
      <c r="C360" s="5"/>
      <c r="D360" s="11"/>
      <c r="E360" s="11"/>
      <c r="F360" s="12"/>
      <c r="G360" s="13" t="str">
        <f>IF(OR(D360="",E360=""),"",ROUND(MOD(E360-D360,1)*24-F360,2))</f>
        <v/>
      </c>
      <c r="H360" s="12"/>
      <c r="I360" s="13" t="str">
        <f>IF(H360&lt;&gt;"",H360,G360)</f>
        <v/>
      </c>
      <c r="J360" s="5"/>
      <c r="K360" s="6"/>
    </row>
    <row r="361" spans="1:11">
      <c r="A361" s="9"/>
      <c r="B361" s="10" t="str">
        <f>IF(A361="","",YEAR(A361)&amp;"/"&amp;RIGHT("0"&amp;MONTH(A361),2))</f>
        <v/>
      </c>
      <c r="C361" s="5"/>
      <c r="D361" s="11"/>
      <c r="E361" s="11"/>
      <c r="F361" s="12"/>
      <c r="G361" s="13" t="str">
        <f>IF(OR(D361="",E361=""),"",ROUND(MOD(E361-D361,1)*24-F361,2))</f>
        <v/>
      </c>
      <c r="H361" s="12"/>
      <c r="I361" s="13" t="str">
        <f>IF(H361&lt;&gt;"",H361,G361)</f>
        <v/>
      </c>
      <c r="J361" s="5"/>
      <c r="K361" s="6"/>
    </row>
    <row r="362" spans="1:11">
      <c r="A362" s="9"/>
      <c r="B362" s="10" t="str">
        <f>IF(A362="","",YEAR(A362)&amp;"/"&amp;RIGHT("0"&amp;MONTH(A362),2))</f>
        <v/>
      </c>
      <c r="C362" s="5"/>
      <c r="D362" s="11"/>
      <c r="E362" s="11"/>
      <c r="F362" s="12"/>
      <c r="G362" s="13" t="str">
        <f>IF(OR(D362="",E362=""),"",ROUND(MOD(E362-D362,1)*24-F362,2))</f>
        <v/>
      </c>
      <c r="H362" s="12"/>
      <c r="I362" s="13" t="str">
        <f>IF(H362&lt;&gt;"",H362,G362)</f>
        <v/>
      </c>
      <c r="J362" s="5"/>
      <c r="K362" s="6"/>
    </row>
    <row r="363" spans="1:11">
      <c r="A363" s="9"/>
      <c r="B363" s="10" t="str">
        <f>IF(A363="","",YEAR(A363)&amp;"/"&amp;RIGHT("0"&amp;MONTH(A363),2))</f>
        <v/>
      </c>
      <c r="C363" s="5"/>
      <c r="D363" s="11"/>
      <c r="E363" s="11"/>
      <c r="F363" s="12"/>
      <c r="G363" s="13" t="str">
        <f>IF(OR(D363="",E363=""),"",ROUND(MOD(E363-D363,1)*24-F363,2))</f>
        <v/>
      </c>
      <c r="H363" s="12"/>
      <c r="I363" s="13" t="str">
        <f>IF(H363&lt;&gt;"",H363,G363)</f>
        <v/>
      </c>
      <c r="J363" s="5"/>
      <c r="K363" s="6"/>
    </row>
    <row r="364" spans="1:11">
      <c r="A364" s="9"/>
      <c r="B364" s="10" t="str">
        <f>IF(A364="","",YEAR(A364)&amp;"/"&amp;RIGHT("0"&amp;MONTH(A364),2))</f>
        <v/>
      </c>
      <c r="C364" s="5"/>
      <c r="D364" s="11"/>
      <c r="E364" s="11"/>
      <c r="F364" s="12"/>
      <c r="G364" s="13" t="str">
        <f>IF(OR(D364="",E364=""),"",ROUND(MOD(E364-D364,1)*24-F364,2))</f>
        <v/>
      </c>
      <c r="H364" s="12"/>
      <c r="I364" s="13" t="str">
        <f>IF(H364&lt;&gt;"",H364,G364)</f>
        <v/>
      </c>
      <c r="J364" s="5"/>
      <c r="K364" s="6"/>
    </row>
    <row r="365" spans="1:11">
      <c r="A365" s="9"/>
      <c r="B365" s="10" t="str">
        <f>IF(A365="","",YEAR(A365)&amp;"/"&amp;RIGHT("0"&amp;MONTH(A365),2))</f>
        <v/>
      </c>
      <c r="C365" s="5"/>
      <c r="D365" s="11"/>
      <c r="E365" s="11"/>
      <c r="F365" s="12"/>
      <c r="G365" s="13" t="str">
        <f>IF(OR(D365="",E365=""),"",ROUND(MOD(E365-D365,1)*24-F365,2))</f>
        <v/>
      </c>
      <c r="H365" s="12"/>
      <c r="I365" s="13" t="str">
        <f>IF(H365&lt;&gt;"",H365,G365)</f>
        <v/>
      </c>
      <c r="J365" s="5"/>
      <c r="K365" s="6"/>
    </row>
    <row r="366" spans="1:11">
      <c r="A366" s="9"/>
      <c r="B366" s="10" t="str">
        <f>IF(A366="","",YEAR(A366)&amp;"/"&amp;RIGHT("0"&amp;MONTH(A366),2))</f>
        <v/>
      </c>
      <c r="C366" s="5"/>
      <c r="D366" s="11"/>
      <c r="E366" s="11"/>
      <c r="F366" s="12"/>
      <c r="G366" s="13" t="str">
        <f>IF(OR(D366="",E366=""),"",ROUND(MOD(E366-D366,1)*24-F366,2))</f>
        <v/>
      </c>
      <c r="H366" s="12"/>
      <c r="I366" s="13" t="str">
        <f>IF(H366&lt;&gt;"",H366,G366)</f>
        <v/>
      </c>
      <c r="J366" s="5"/>
      <c r="K366" s="6"/>
    </row>
    <row r="367" spans="1:11">
      <c r="A367" s="9"/>
      <c r="B367" s="10" t="str">
        <f>IF(A367="","",YEAR(A367)&amp;"/"&amp;RIGHT("0"&amp;MONTH(A367),2))</f>
        <v/>
      </c>
      <c r="C367" s="5"/>
      <c r="D367" s="11"/>
      <c r="E367" s="11"/>
      <c r="F367" s="12"/>
      <c r="G367" s="13" t="str">
        <f>IF(OR(D367="",E367=""),"",ROUND(MOD(E367-D367,1)*24-F367,2))</f>
        <v/>
      </c>
      <c r="H367" s="12"/>
      <c r="I367" s="13" t="str">
        <f>IF(H367&lt;&gt;"",H367,G367)</f>
        <v/>
      </c>
      <c r="J367" s="5"/>
      <c r="K367" s="6"/>
    </row>
    <row r="368" spans="1:11">
      <c r="A368" s="9"/>
      <c r="B368" s="10" t="str">
        <f>IF(A368="","",YEAR(A368)&amp;"/"&amp;RIGHT("0"&amp;MONTH(A368),2))</f>
        <v/>
      </c>
      <c r="C368" s="5"/>
      <c r="D368" s="11"/>
      <c r="E368" s="11"/>
      <c r="F368" s="12"/>
      <c r="G368" s="13" t="str">
        <f>IF(OR(D368="",E368=""),"",ROUND(MOD(E368-D368,1)*24-F368,2))</f>
        <v/>
      </c>
      <c r="H368" s="12"/>
      <c r="I368" s="13" t="str">
        <f>IF(H368&lt;&gt;"",H368,G368)</f>
        <v/>
      </c>
      <c r="J368" s="5"/>
      <c r="K368" s="6"/>
    </row>
    <row r="369" spans="1:11">
      <c r="A369" s="9"/>
      <c r="B369" s="10" t="str">
        <f>IF(A369="","",YEAR(A369)&amp;"/"&amp;RIGHT("0"&amp;MONTH(A369),2))</f>
        <v/>
      </c>
      <c r="C369" s="5"/>
      <c r="D369" s="11"/>
      <c r="E369" s="11"/>
      <c r="F369" s="12"/>
      <c r="G369" s="13" t="str">
        <f>IF(OR(D369="",E369=""),"",ROUND(MOD(E369-D369,1)*24-F369,2))</f>
        <v/>
      </c>
      <c r="H369" s="12"/>
      <c r="I369" s="13" t="str">
        <f>IF(H369&lt;&gt;"",H369,G369)</f>
        <v/>
      </c>
      <c r="J369" s="5"/>
      <c r="K369" s="6"/>
    </row>
    <row r="370" spans="1:11">
      <c r="A370" s="9"/>
      <c r="B370" s="10" t="str">
        <f>IF(A370="","",YEAR(A370)&amp;"/"&amp;RIGHT("0"&amp;MONTH(A370),2))</f>
        <v/>
      </c>
      <c r="C370" s="5"/>
      <c r="D370" s="11"/>
      <c r="E370" s="11"/>
      <c r="F370" s="12"/>
      <c r="G370" s="13" t="str">
        <f>IF(OR(D370="",E370=""),"",ROUND(MOD(E370-D370,1)*24-F370,2))</f>
        <v/>
      </c>
      <c r="H370" s="12"/>
      <c r="I370" s="13" t="str">
        <f>IF(H370&lt;&gt;"",H370,G370)</f>
        <v/>
      </c>
      <c r="J370" s="5"/>
      <c r="K370" s="6"/>
    </row>
    <row r="371" spans="1:11">
      <c r="A371" s="9"/>
      <c r="B371" s="10" t="str">
        <f>IF(A371="","",YEAR(A371)&amp;"/"&amp;RIGHT("0"&amp;MONTH(A371),2))</f>
        <v/>
      </c>
      <c r="C371" s="5"/>
      <c r="D371" s="11"/>
      <c r="E371" s="11"/>
      <c r="F371" s="12"/>
      <c r="G371" s="13" t="str">
        <f>IF(OR(D371="",E371=""),"",ROUND(MOD(E371-D371,1)*24-F371,2))</f>
        <v/>
      </c>
      <c r="H371" s="12"/>
      <c r="I371" s="13" t="str">
        <f>IF(H371&lt;&gt;"",H371,G371)</f>
        <v/>
      </c>
      <c r="J371" s="5"/>
      <c r="K371" s="6"/>
    </row>
    <row r="372" spans="1:11">
      <c r="A372" s="9"/>
      <c r="B372" s="10" t="str">
        <f>IF(A372="","",YEAR(A372)&amp;"/"&amp;RIGHT("0"&amp;MONTH(A372),2))</f>
        <v/>
      </c>
      <c r="C372" s="5"/>
      <c r="D372" s="11"/>
      <c r="E372" s="11"/>
      <c r="F372" s="12"/>
      <c r="G372" s="13" t="str">
        <f>IF(OR(D372="",E372=""),"",ROUND(MOD(E372-D372,1)*24-F372,2))</f>
        <v/>
      </c>
      <c r="H372" s="12"/>
      <c r="I372" s="13" t="str">
        <f>IF(H372&lt;&gt;"",H372,G372)</f>
        <v/>
      </c>
      <c r="J372" s="5"/>
      <c r="K372" s="6"/>
    </row>
    <row r="373" spans="1:11">
      <c r="A373" s="9"/>
      <c r="B373" s="10" t="str">
        <f>IF(A373="","",YEAR(A373)&amp;"/"&amp;RIGHT("0"&amp;MONTH(A373),2))</f>
        <v/>
      </c>
      <c r="C373" s="5"/>
      <c r="D373" s="11"/>
      <c r="E373" s="11"/>
      <c r="F373" s="12"/>
      <c r="G373" s="13" t="str">
        <f>IF(OR(D373="",E373=""),"",ROUND(MOD(E373-D373,1)*24-F373,2))</f>
        <v/>
      </c>
      <c r="H373" s="12"/>
      <c r="I373" s="13" t="str">
        <f>IF(H373&lt;&gt;"",H373,G373)</f>
        <v/>
      </c>
      <c r="J373" s="5"/>
      <c r="K373" s="6"/>
    </row>
    <row r="374" spans="1:11">
      <c r="A374" s="9"/>
      <c r="B374" s="10" t="str">
        <f>IF(A374="","",YEAR(A374)&amp;"/"&amp;RIGHT("0"&amp;MONTH(A374),2))</f>
        <v/>
      </c>
      <c r="C374" s="5"/>
      <c r="D374" s="11"/>
      <c r="E374" s="11"/>
      <c r="F374" s="12"/>
      <c r="G374" s="13" t="str">
        <f>IF(OR(D374="",E374=""),"",ROUND(MOD(E374-D374,1)*24-F374,2))</f>
        <v/>
      </c>
      <c r="H374" s="12"/>
      <c r="I374" s="13" t="str">
        <f>IF(H374&lt;&gt;"",H374,G374)</f>
        <v/>
      </c>
      <c r="J374" s="5"/>
      <c r="K374" s="6"/>
    </row>
    <row r="375" spans="1:11">
      <c r="A375" s="9"/>
      <c r="B375" s="10" t="str">
        <f>IF(A375="","",YEAR(A375)&amp;"/"&amp;RIGHT("0"&amp;MONTH(A375),2))</f>
        <v/>
      </c>
      <c r="C375" s="5"/>
      <c r="D375" s="11"/>
      <c r="E375" s="11"/>
      <c r="F375" s="12"/>
      <c r="G375" s="13" t="str">
        <f>IF(OR(D375="",E375=""),"",ROUND(MOD(E375-D375,1)*24-F375,2))</f>
        <v/>
      </c>
      <c r="H375" s="12"/>
      <c r="I375" s="13" t="str">
        <f>IF(H375&lt;&gt;"",H375,G375)</f>
        <v/>
      </c>
      <c r="J375" s="5"/>
      <c r="K375" s="6"/>
    </row>
    <row r="376" spans="1:11">
      <c r="A376" s="9"/>
      <c r="B376" s="10" t="str">
        <f>IF(A376="","",YEAR(A376)&amp;"/"&amp;RIGHT("0"&amp;MONTH(A376),2))</f>
        <v/>
      </c>
      <c r="C376" s="5"/>
      <c r="D376" s="11"/>
      <c r="E376" s="11"/>
      <c r="F376" s="12"/>
      <c r="G376" s="13" t="str">
        <f>IF(OR(D376="",E376=""),"",ROUND(MOD(E376-D376,1)*24-F376,2))</f>
        <v/>
      </c>
      <c r="H376" s="12"/>
      <c r="I376" s="13" t="str">
        <f>IF(H376&lt;&gt;"",H376,G376)</f>
        <v/>
      </c>
      <c r="J376" s="5"/>
      <c r="K376" s="6"/>
    </row>
    <row r="377" spans="1:11">
      <c r="A377" s="9"/>
      <c r="B377" s="10" t="str">
        <f>IF(A377="","",YEAR(A377)&amp;"/"&amp;RIGHT("0"&amp;MONTH(A377),2))</f>
        <v/>
      </c>
      <c r="C377" s="5"/>
      <c r="D377" s="11"/>
      <c r="E377" s="11"/>
      <c r="F377" s="12"/>
      <c r="G377" s="13" t="str">
        <f>IF(OR(D377="",E377=""),"",ROUND(MOD(E377-D377,1)*24-F377,2))</f>
        <v/>
      </c>
      <c r="H377" s="12"/>
      <c r="I377" s="13" t="str">
        <f>IF(H377&lt;&gt;"",H377,G377)</f>
        <v/>
      </c>
      <c r="J377" s="5"/>
      <c r="K377" s="6"/>
    </row>
    <row r="378" spans="1:11">
      <c r="A378" s="9"/>
      <c r="B378" s="10" t="str">
        <f>IF(A378="","",YEAR(A378)&amp;"/"&amp;RIGHT("0"&amp;MONTH(A378),2))</f>
        <v/>
      </c>
      <c r="C378" s="5"/>
      <c r="D378" s="11"/>
      <c r="E378" s="11"/>
      <c r="F378" s="12"/>
      <c r="G378" s="13" t="str">
        <f>IF(OR(D378="",E378=""),"",ROUND(MOD(E378-D378,1)*24-F378,2))</f>
        <v/>
      </c>
      <c r="H378" s="12"/>
      <c r="I378" s="13" t="str">
        <f>IF(H378&lt;&gt;"",H378,G378)</f>
        <v/>
      </c>
      <c r="J378" s="5"/>
      <c r="K378" s="6"/>
    </row>
    <row r="379" spans="1:11">
      <c r="A379" s="9"/>
      <c r="B379" s="10" t="str">
        <f>IF(A379="","",YEAR(A379)&amp;"/"&amp;RIGHT("0"&amp;MONTH(A379),2))</f>
        <v/>
      </c>
      <c r="C379" s="5"/>
      <c r="D379" s="11"/>
      <c r="E379" s="11"/>
      <c r="F379" s="12"/>
      <c r="G379" s="13" t="str">
        <f>IF(OR(D379="",E379=""),"",ROUND(MOD(E379-D379,1)*24-F379,2))</f>
        <v/>
      </c>
      <c r="H379" s="12"/>
      <c r="I379" s="13" t="str">
        <f>IF(H379&lt;&gt;"",H379,G379)</f>
        <v/>
      </c>
      <c r="J379" s="5"/>
      <c r="K379" s="6"/>
    </row>
    <row r="380" spans="1:11">
      <c r="A380" s="9"/>
      <c r="B380" s="10" t="str">
        <f>IF(A380="","",YEAR(A380)&amp;"/"&amp;RIGHT("0"&amp;MONTH(A380),2))</f>
        <v/>
      </c>
      <c r="C380" s="5"/>
      <c r="D380" s="11"/>
      <c r="E380" s="11"/>
      <c r="F380" s="12"/>
      <c r="G380" s="13" t="str">
        <f>IF(OR(D380="",E380=""),"",ROUND(MOD(E380-D380,1)*24-F380,2))</f>
        <v/>
      </c>
      <c r="H380" s="12"/>
      <c r="I380" s="13" t="str">
        <f>IF(H380&lt;&gt;"",H380,G380)</f>
        <v/>
      </c>
      <c r="J380" s="5"/>
      <c r="K380" s="6"/>
    </row>
    <row r="381" spans="1:11">
      <c r="A381" s="9"/>
      <c r="B381" s="10" t="str">
        <f>IF(A381="","",YEAR(A381)&amp;"/"&amp;RIGHT("0"&amp;MONTH(A381),2))</f>
        <v/>
      </c>
      <c r="C381" s="5"/>
      <c r="D381" s="11"/>
      <c r="E381" s="11"/>
      <c r="F381" s="12"/>
      <c r="G381" s="13" t="str">
        <f>IF(OR(D381="",E381=""),"",ROUND(MOD(E381-D381,1)*24-F381,2))</f>
        <v/>
      </c>
      <c r="H381" s="12"/>
      <c r="I381" s="13" t="str">
        <f>IF(H381&lt;&gt;"",H381,G381)</f>
        <v/>
      </c>
      <c r="J381" s="5"/>
      <c r="K381" s="6"/>
    </row>
    <row r="382" spans="1:11">
      <c r="A382" s="9"/>
      <c r="B382" s="10" t="str">
        <f>IF(A382="","",YEAR(A382)&amp;"/"&amp;RIGHT("0"&amp;MONTH(A382),2))</f>
        <v/>
      </c>
      <c r="C382" s="5"/>
      <c r="D382" s="11"/>
      <c r="E382" s="11"/>
      <c r="F382" s="12"/>
      <c r="G382" s="13" t="str">
        <f>IF(OR(D382="",E382=""),"",ROUND(MOD(E382-D382,1)*24-F382,2))</f>
        <v/>
      </c>
      <c r="H382" s="12"/>
      <c r="I382" s="13" t="str">
        <f>IF(H382&lt;&gt;"",H382,G382)</f>
        <v/>
      </c>
      <c r="J382" s="5"/>
      <c r="K382" s="6"/>
    </row>
    <row r="383" spans="1:11">
      <c r="A383" s="9"/>
      <c r="B383" s="10" t="str">
        <f>IF(A383="","",YEAR(A383)&amp;"/"&amp;RIGHT("0"&amp;MONTH(A383),2))</f>
        <v/>
      </c>
      <c r="C383" s="5"/>
      <c r="D383" s="11"/>
      <c r="E383" s="11"/>
      <c r="F383" s="12"/>
      <c r="G383" s="13" t="str">
        <f>IF(OR(D383="",E383=""),"",ROUND(MOD(E383-D383,1)*24-F383,2))</f>
        <v/>
      </c>
      <c r="H383" s="12"/>
      <c r="I383" s="13" t="str">
        <f>IF(H383&lt;&gt;"",H383,G383)</f>
        <v/>
      </c>
      <c r="J383" s="5"/>
      <c r="K383" s="6"/>
    </row>
    <row r="384" spans="1:11">
      <c r="A384" s="9"/>
      <c r="B384" s="10" t="str">
        <f>IF(A384="","",YEAR(A384)&amp;"/"&amp;RIGHT("0"&amp;MONTH(A384),2))</f>
        <v/>
      </c>
      <c r="C384" s="5"/>
      <c r="D384" s="11"/>
      <c r="E384" s="11"/>
      <c r="F384" s="12"/>
      <c r="G384" s="13" t="str">
        <f>IF(OR(D384="",E384=""),"",ROUND(MOD(E384-D384,1)*24-F384,2))</f>
        <v/>
      </c>
      <c r="H384" s="12"/>
      <c r="I384" s="13" t="str">
        <f>IF(H384&lt;&gt;"",H384,G384)</f>
        <v/>
      </c>
      <c r="J384" s="5"/>
      <c r="K384" s="6"/>
    </row>
    <row r="385" spans="1:11">
      <c r="A385" s="9"/>
      <c r="B385" s="10" t="str">
        <f>IF(A385="","",YEAR(A385)&amp;"/"&amp;RIGHT("0"&amp;MONTH(A385),2))</f>
        <v/>
      </c>
      <c r="C385" s="5"/>
      <c r="D385" s="11"/>
      <c r="E385" s="11"/>
      <c r="F385" s="12"/>
      <c r="G385" s="13" t="str">
        <f>IF(OR(D385="",E385=""),"",ROUND(MOD(E385-D385,1)*24-F385,2))</f>
        <v/>
      </c>
      <c r="H385" s="12"/>
      <c r="I385" s="13" t="str">
        <f>IF(H385&lt;&gt;"",H385,G385)</f>
        <v/>
      </c>
      <c r="J385" s="5"/>
      <c r="K385" s="6"/>
    </row>
    <row r="386" spans="1:11">
      <c r="A386" s="9"/>
      <c r="B386" s="10" t="str">
        <f>IF(A386="","",YEAR(A386)&amp;"/"&amp;RIGHT("0"&amp;MONTH(A386),2))</f>
        <v/>
      </c>
      <c r="C386" s="5"/>
      <c r="D386" s="11"/>
      <c r="E386" s="11"/>
      <c r="F386" s="12"/>
      <c r="G386" s="13" t="str">
        <f>IF(OR(D386="",E386=""),"",ROUND(MOD(E386-D386,1)*24-F386,2))</f>
        <v/>
      </c>
      <c r="H386" s="12"/>
      <c r="I386" s="13" t="str">
        <f>IF(H386&lt;&gt;"",H386,G386)</f>
        <v/>
      </c>
      <c r="J386" s="5"/>
      <c r="K386" s="6"/>
    </row>
    <row r="387" spans="1:11">
      <c r="A387" s="9"/>
      <c r="B387" s="10" t="str">
        <f>IF(A387="","",YEAR(A387)&amp;"/"&amp;RIGHT("0"&amp;MONTH(A387),2))</f>
        <v/>
      </c>
      <c r="C387" s="5"/>
      <c r="D387" s="11"/>
      <c r="E387" s="11"/>
      <c r="F387" s="12"/>
      <c r="G387" s="13" t="str">
        <f>IF(OR(D387="",E387=""),"",ROUND(MOD(E387-D387,1)*24-F387,2))</f>
        <v/>
      </c>
      <c r="H387" s="12"/>
      <c r="I387" s="13" t="str">
        <f>IF(H387&lt;&gt;"",H387,G387)</f>
        <v/>
      </c>
      <c r="J387" s="5"/>
      <c r="K387" s="6"/>
    </row>
    <row r="388" spans="1:11">
      <c r="A388" s="9"/>
      <c r="B388" s="10" t="str">
        <f>IF(A388="","",YEAR(A388)&amp;"/"&amp;RIGHT("0"&amp;MONTH(A388),2))</f>
        <v/>
      </c>
      <c r="C388" s="5"/>
      <c r="D388" s="11"/>
      <c r="E388" s="11"/>
      <c r="F388" s="12"/>
      <c r="G388" s="13" t="str">
        <f>IF(OR(D388="",E388=""),"",ROUND(MOD(E388-D388,1)*24-F388,2))</f>
        <v/>
      </c>
      <c r="H388" s="12"/>
      <c r="I388" s="13" t="str">
        <f>IF(H388&lt;&gt;"",H388,G388)</f>
        <v/>
      </c>
      <c r="J388" s="5"/>
      <c r="K388" s="6"/>
    </row>
    <row r="389" spans="1:11">
      <c r="A389" s="9"/>
      <c r="B389" s="10" t="str">
        <f>IF(A389="","",YEAR(A389)&amp;"/"&amp;RIGHT("0"&amp;MONTH(A389),2))</f>
        <v/>
      </c>
      <c r="C389" s="5"/>
      <c r="D389" s="11"/>
      <c r="E389" s="11"/>
      <c r="F389" s="12"/>
      <c r="G389" s="13" t="str">
        <f>IF(OR(D389="",E389=""),"",ROUND(MOD(E389-D389,1)*24-F389,2))</f>
        <v/>
      </c>
      <c r="H389" s="12"/>
      <c r="I389" s="13" t="str">
        <f>IF(H389&lt;&gt;"",H389,G389)</f>
        <v/>
      </c>
      <c r="J389" s="5"/>
      <c r="K389" s="6"/>
    </row>
    <row r="390" spans="1:11">
      <c r="A390" s="9"/>
      <c r="B390" s="10" t="str">
        <f>IF(A390="","",YEAR(A390)&amp;"/"&amp;RIGHT("0"&amp;MONTH(A390),2))</f>
        <v/>
      </c>
      <c r="C390" s="5"/>
      <c r="D390" s="11"/>
      <c r="E390" s="11"/>
      <c r="F390" s="12"/>
      <c r="G390" s="13" t="str">
        <f>IF(OR(D390="",E390=""),"",ROUND(MOD(E390-D390,1)*24-F390,2))</f>
        <v/>
      </c>
      <c r="H390" s="12"/>
      <c r="I390" s="13" t="str">
        <f>IF(H390&lt;&gt;"",H390,G390)</f>
        <v/>
      </c>
      <c r="J390" s="5"/>
      <c r="K390" s="6"/>
    </row>
    <row r="391" spans="1:11">
      <c r="A391" s="9"/>
      <c r="B391" s="10" t="str">
        <f>IF(A391="","",YEAR(A391)&amp;"/"&amp;RIGHT("0"&amp;MONTH(A391),2))</f>
        <v/>
      </c>
      <c r="C391" s="5"/>
      <c r="D391" s="11"/>
      <c r="E391" s="11"/>
      <c r="F391" s="12"/>
      <c r="G391" s="13" t="str">
        <f>IF(OR(D391="",E391=""),"",ROUND(MOD(E391-D391,1)*24-F391,2))</f>
        <v/>
      </c>
      <c r="H391" s="12"/>
      <c r="I391" s="13" t="str">
        <f>IF(H391&lt;&gt;"",H391,G391)</f>
        <v/>
      </c>
      <c r="J391" s="5"/>
      <c r="K391" s="6"/>
    </row>
    <row r="392" spans="1:11">
      <c r="A392" s="9"/>
      <c r="B392" s="10" t="str">
        <f>IF(A392="","",YEAR(A392)&amp;"/"&amp;RIGHT("0"&amp;MONTH(A392),2))</f>
        <v/>
      </c>
      <c r="C392" s="5"/>
      <c r="D392" s="11"/>
      <c r="E392" s="11"/>
      <c r="F392" s="12"/>
      <c r="G392" s="13" t="str">
        <f>IF(OR(D392="",E392=""),"",ROUND(MOD(E392-D392,1)*24-F392,2))</f>
        <v/>
      </c>
      <c r="H392" s="12"/>
      <c r="I392" s="13" t="str">
        <f>IF(H392&lt;&gt;"",H392,G392)</f>
        <v/>
      </c>
      <c r="J392" s="5"/>
      <c r="K392" s="6"/>
    </row>
    <row r="393" spans="1:11">
      <c r="A393" s="9"/>
      <c r="B393" s="10" t="str">
        <f>IF(A393="","",YEAR(A393)&amp;"/"&amp;RIGHT("0"&amp;MONTH(A393),2))</f>
        <v/>
      </c>
      <c r="C393" s="5"/>
      <c r="D393" s="11"/>
      <c r="E393" s="11"/>
      <c r="F393" s="12"/>
      <c r="G393" s="13" t="str">
        <f>IF(OR(D393="",E393=""),"",ROUND(MOD(E393-D393,1)*24-F393,2))</f>
        <v/>
      </c>
      <c r="H393" s="12"/>
      <c r="I393" s="13" t="str">
        <f>IF(H393&lt;&gt;"",H393,G393)</f>
        <v/>
      </c>
      <c r="J393" s="5"/>
      <c r="K393" s="6"/>
    </row>
    <row r="394" spans="1:11">
      <c r="A394" s="9"/>
      <c r="B394" s="10" t="str">
        <f>IF(A394="","",YEAR(A394)&amp;"/"&amp;RIGHT("0"&amp;MONTH(A394),2))</f>
        <v/>
      </c>
      <c r="C394" s="5"/>
      <c r="D394" s="11"/>
      <c r="E394" s="11"/>
      <c r="F394" s="12"/>
      <c r="G394" s="13" t="str">
        <f>IF(OR(D394="",E394=""),"",ROUND(MOD(E394-D394,1)*24-F394,2))</f>
        <v/>
      </c>
      <c r="H394" s="12"/>
      <c r="I394" s="13" t="str">
        <f>IF(H394&lt;&gt;"",H394,G394)</f>
        <v/>
      </c>
      <c r="J394" s="5"/>
      <c r="K394" s="6"/>
    </row>
    <row r="395" spans="1:11">
      <c r="A395" s="9"/>
      <c r="B395" s="10" t="str">
        <f>IF(A395="","",YEAR(A395)&amp;"/"&amp;RIGHT("0"&amp;MONTH(A395),2))</f>
        <v/>
      </c>
      <c r="C395" s="5"/>
      <c r="D395" s="11"/>
      <c r="E395" s="11"/>
      <c r="F395" s="12"/>
      <c r="G395" s="13" t="str">
        <f>IF(OR(D395="",E395=""),"",ROUND(MOD(E395-D395,1)*24-F395,2))</f>
        <v/>
      </c>
      <c r="H395" s="12"/>
      <c r="I395" s="13" t="str">
        <f>IF(H395&lt;&gt;"",H395,G395)</f>
        <v/>
      </c>
      <c r="J395" s="5"/>
      <c r="K395" s="6"/>
    </row>
    <row r="396" spans="1:11">
      <c r="A396" s="9"/>
      <c r="B396" s="10" t="str">
        <f>IF(A396="","",YEAR(A396)&amp;"/"&amp;RIGHT("0"&amp;MONTH(A396),2))</f>
        <v/>
      </c>
      <c r="C396" s="5"/>
      <c r="D396" s="11"/>
      <c r="E396" s="11"/>
      <c r="F396" s="12"/>
      <c r="G396" s="13" t="str">
        <f>IF(OR(D396="",E396=""),"",ROUND(MOD(E396-D396,1)*24-F396,2))</f>
        <v/>
      </c>
      <c r="H396" s="12"/>
      <c r="I396" s="13" t="str">
        <f>IF(H396&lt;&gt;"",H396,G396)</f>
        <v/>
      </c>
      <c r="J396" s="5"/>
      <c r="K396" s="6"/>
    </row>
    <row r="397" spans="1:11">
      <c r="A397" s="9"/>
      <c r="B397" s="10" t="str">
        <f>IF(A397="","",YEAR(A397)&amp;"/"&amp;RIGHT("0"&amp;MONTH(A397),2))</f>
        <v/>
      </c>
      <c r="C397" s="5"/>
      <c r="D397" s="11"/>
      <c r="E397" s="11"/>
      <c r="F397" s="12"/>
      <c r="G397" s="13" t="str">
        <f>IF(OR(D397="",E397=""),"",ROUND(MOD(E397-D397,1)*24-F397,2))</f>
        <v/>
      </c>
      <c r="H397" s="12"/>
      <c r="I397" s="13" t="str">
        <f>IF(H397&lt;&gt;"",H397,G397)</f>
        <v/>
      </c>
      <c r="J397" s="5"/>
      <c r="K397" s="6"/>
    </row>
    <row r="398" spans="1:11">
      <c r="A398" s="9"/>
      <c r="B398" s="10" t="str">
        <f>IF(A398="","",YEAR(A398)&amp;"/"&amp;RIGHT("0"&amp;MONTH(A398),2))</f>
        <v/>
      </c>
      <c r="C398" s="5"/>
      <c r="D398" s="11"/>
      <c r="E398" s="11"/>
      <c r="F398" s="12"/>
      <c r="G398" s="13" t="str">
        <f>IF(OR(D398="",E398=""),"",ROUND(MOD(E398-D398,1)*24-F398,2))</f>
        <v/>
      </c>
      <c r="H398" s="12"/>
      <c r="I398" s="13" t="str">
        <f>IF(H398&lt;&gt;"",H398,G398)</f>
        <v/>
      </c>
      <c r="J398" s="5"/>
      <c r="K398" s="6"/>
    </row>
    <row r="399" spans="1:11">
      <c r="A399" s="9"/>
      <c r="B399" s="10" t="str">
        <f>IF(A399="","",YEAR(A399)&amp;"/"&amp;RIGHT("0"&amp;MONTH(A399),2))</f>
        <v/>
      </c>
      <c r="C399" s="5"/>
      <c r="D399" s="11"/>
      <c r="E399" s="11"/>
      <c r="F399" s="12"/>
      <c r="G399" s="13" t="str">
        <f>IF(OR(D399="",E399=""),"",ROUND(MOD(E399-D399,1)*24-F399,2))</f>
        <v/>
      </c>
      <c r="H399" s="12"/>
      <c r="I399" s="13" t="str">
        <f>IF(H399&lt;&gt;"",H399,G399)</f>
        <v/>
      </c>
      <c r="J399" s="5"/>
      <c r="K399" s="6"/>
    </row>
    <row r="400" spans="1:11">
      <c r="A400" s="9"/>
      <c r="B400" s="10" t="str">
        <f>IF(A400="","",YEAR(A400)&amp;"/"&amp;RIGHT("0"&amp;MONTH(A400),2))</f>
        <v/>
      </c>
      <c r="C400" s="5"/>
      <c r="D400" s="11"/>
      <c r="E400" s="11"/>
      <c r="F400" s="12"/>
      <c r="G400" s="13" t="str">
        <f>IF(OR(D400="",E400=""),"",ROUND(MOD(E400-D400,1)*24-F400,2))</f>
        <v/>
      </c>
      <c r="H400" s="12"/>
      <c r="I400" s="13" t="str">
        <f>IF(H400&lt;&gt;"",H400,G400)</f>
        <v/>
      </c>
      <c r="J400" s="5"/>
      <c r="K400" s="6"/>
    </row>
    <row r="401" spans="1:11">
      <c r="A401" s="9"/>
      <c r="B401" s="10" t="str">
        <f>IF(A401="","",YEAR(A401)&amp;"/"&amp;RIGHT("0"&amp;MONTH(A401),2))</f>
        <v/>
      </c>
      <c r="C401" s="5"/>
      <c r="D401" s="11"/>
      <c r="E401" s="11"/>
      <c r="F401" s="12"/>
      <c r="G401" s="13" t="str">
        <f>IF(OR(D401="",E401=""),"",ROUND(MOD(E401-D401,1)*24-F401,2))</f>
        <v/>
      </c>
      <c r="H401" s="12"/>
      <c r="I401" s="13" t="str">
        <f>IF(H401&lt;&gt;"",H401,G401)</f>
        <v/>
      </c>
      <c r="J401" s="5"/>
      <c r="K401" s="6"/>
    </row>
    <row r="402" spans="1:11">
      <c r="A402" s="9"/>
      <c r="B402" s="10" t="str">
        <f>IF(A402="","",YEAR(A402)&amp;"/"&amp;RIGHT("0"&amp;MONTH(A402),2))</f>
        <v/>
      </c>
      <c r="C402" s="5"/>
      <c r="D402" s="11"/>
      <c r="E402" s="11"/>
      <c r="F402" s="12"/>
      <c r="G402" s="13" t="str">
        <f>IF(OR(D402="",E402=""),"",ROUND(MOD(E402-D402,1)*24-F402,2))</f>
        <v/>
      </c>
      <c r="H402" s="12"/>
      <c r="I402" s="13" t="str">
        <f>IF(H402&lt;&gt;"",H402,G402)</f>
        <v/>
      </c>
      <c r="J402" s="5"/>
      <c r="K402" s="6"/>
    </row>
    <row r="403" spans="1:11">
      <c r="A403" s="9"/>
      <c r="B403" s="10" t="str">
        <f>IF(A403="","",YEAR(A403)&amp;"/"&amp;RIGHT("0"&amp;MONTH(A403),2))</f>
        <v/>
      </c>
      <c r="C403" s="5"/>
      <c r="D403" s="11"/>
      <c r="E403" s="11"/>
      <c r="F403" s="12"/>
      <c r="G403" s="13" t="str">
        <f>IF(OR(D403="",E403=""),"",ROUND(MOD(E403-D403,1)*24-F403,2))</f>
        <v/>
      </c>
      <c r="H403" s="12"/>
      <c r="I403" s="13" t="str">
        <f>IF(H403&lt;&gt;"",H403,G403)</f>
        <v/>
      </c>
      <c r="J403" s="5"/>
      <c r="K403" s="6"/>
    </row>
    <row r="404" spans="1:11">
      <c r="A404" s="9"/>
      <c r="B404" s="10" t="str">
        <f>IF(A404="","",YEAR(A404)&amp;"/"&amp;RIGHT("0"&amp;MONTH(A404),2))</f>
        <v/>
      </c>
      <c r="C404" s="5"/>
      <c r="D404" s="11"/>
      <c r="E404" s="11"/>
      <c r="F404" s="12"/>
      <c r="G404" s="13" t="str">
        <f>IF(OR(D404="",E404=""),"",ROUND(MOD(E404-D404,1)*24-F404,2))</f>
        <v/>
      </c>
      <c r="H404" s="12"/>
      <c r="I404" s="13" t="str">
        <f>IF(H404&lt;&gt;"",H404,G404)</f>
        <v/>
      </c>
      <c r="J404" s="5"/>
      <c r="K404" s="6"/>
    </row>
    <row r="405" spans="1:11">
      <c r="A405" s="9"/>
      <c r="B405" s="10" t="str">
        <f>IF(A405="","",YEAR(A405)&amp;"/"&amp;RIGHT("0"&amp;MONTH(A405),2))</f>
        <v/>
      </c>
      <c r="C405" s="5"/>
      <c r="D405" s="11"/>
      <c r="E405" s="11"/>
      <c r="F405" s="12"/>
      <c r="G405" s="13" t="str">
        <f>IF(OR(D405="",E405=""),"",ROUND(MOD(E405-D405,1)*24-F405,2))</f>
        <v/>
      </c>
      <c r="H405" s="12"/>
      <c r="I405" s="13" t="str">
        <f>IF(H405&lt;&gt;"",H405,G405)</f>
        <v/>
      </c>
      <c r="J405" s="5"/>
      <c r="K405" s="6"/>
    </row>
    <row r="406" spans="1:11">
      <c r="A406" s="9"/>
      <c r="B406" s="10" t="str">
        <f>IF(A406="","",YEAR(A406)&amp;"/"&amp;RIGHT("0"&amp;MONTH(A406),2))</f>
        <v/>
      </c>
      <c r="C406" s="5"/>
      <c r="D406" s="11"/>
      <c r="E406" s="11"/>
      <c r="F406" s="12"/>
      <c r="G406" s="13" t="str">
        <f>IF(OR(D406="",E406=""),"",ROUND(MOD(E406-D406,1)*24-F406,2))</f>
        <v/>
      </c>
      <c r="H406" s="12"/>
      <c r="I406" s="13" t="str">
        <f>IF(H406&lt;&gt;"",H406,G406)</f>
        <v/>
      </c>
      <c r="J406" s="5"/>
      <c r="K406" s="6"/>
    </row>
    <row r="407" spans="1:11">
      <c r="A407" s="9"/>
      <c r="B407" s="10" t="str">
        <f>IF(A407="","",YEAR(A407)&amp;"/"&amp;RIGHT("0"&amp;MONTH(A407),2))</f>
        <v/>
      </c>
      <c r="C407" s="5"/>
      <c r="D407" s="11"/>
      <c r="E407" s="11"/>
      <c r="F407" s="12"/>
      <c r="G407" s="13" t="str">
        <f>IF(OR(D407="",E407=""),"",ROUND(MOD(E407-D407,1)*24-F407,2))</f>
        <v/>
      </c>
      <c r="H407" s="12"/>
      <c r="I407" s="13" t="str">
        <f>IF(H407&lt;&gt;"",H407,G407)</f>
        <v/>
      </c>
      <c r="J407" s="5"/>
      <c r="K407" s="6"/>
    </row>
    <row r="408" spans="1:11">
      <c r="A408" s="9"/>
      <c r="B408" s="10" t="str">
        <f>IF(A408="","",YEAR(A408)&amp;"/"&amp;RIGHT("0"&amp;MONTH(A408),2))</f>
        <v/>
      </c>
      <c r="C408" s="5"/>
      <c r="D408" s="11"/>
      <c r="E408" s="11"/>
      <c r="F408" s="12"/>
      <c r="G408" s="13" t="str">
        <f>IF(OR(D408="",E408=""),"",ROUND(MOD(E408-D408,1)*24-F408,2))</f>
        <v/>
      </c>
      <c r="H408" s="12"/>
      <c r="I408" s="13" t="str">
        <f>IF(H408&lt;&gt;"",H408,G408)</f>
        <v/>
      </c>
      <c r="J408" s="5"/>
      <c r="K408" s="6"/>
    </row>
    <row r="409" spans="1:11">
      <c r="A409" s="9"/>
      <c r="B409" s="10" t="str">
        <f>IF(A409="","",YEAR(A409)&amp;"/"&amp;RIGHT("0"&amp;MONTH(A409),2))</f>
        <v/>
      </c>
      <c r="C409" s="5"/>
      <c r="D409" s="11"/>
      <c r="E409" s="11"/>
      <c r="F409" s="12"/>
      <c r="G409" s="13" t="str">
        <f>IF(OR(D409="",E409=""),"",ROUND(MOD(E409-D409,1)*24-F409,2))</f>
        <v/>
      </c>
      <c r="H409" s="12"/>
      <c r="I409" s="13" t="str">
        <f>IF(H409&lt;&gt;"",H409,G409)</f>
        <v/>
      </c>
      <c r="J409" s="5"/>
      <c r="K409" s="6"/>
    </row>
    <row r="410" spans="1:11">
      <c r="A410" s="9"/>
      <c r="B410" s="10" t="str">
        <f>IF(A410="","",YEAR(A410)&amp;"/"&amp;RIGHT("0"&amp;MONTH(A410),2))</f>
        <v/>
      </c>
      <c r="C410" s="5"/>
      <c r="D410" s="11"/>
      <c r="E410" s="11"/>
      <c r="F410" s="12"/>
      <c r="G410" s="13" t="str">
        <f>IF(OR(D410="",E410=""),"",ROUND(MOD(E410-D410,1)*24-F410,2))</f>
        <v/>
      </c>
      <c r="H410" s="12"/>
      <c r="I410" s="13" t="str">
        <f>IF(H410&lt;&gt;"",H410,G410)</f>
        <v/>
      </c>
      <c r="J410" s="5"/>
      <c r="K410" s="6"/>
    </row>
    <row r="411" spans="1:11">
      <c r="A411" s="9"/>
      <c r="B411" s="10" t="str">
        <f>IF(A411="","",YEAR(A411)&amp;"/"&amp;RIGHT("0"&amp;MONTH(A411),2))</f>
        <v/>
      </c>
      <c r="C411" s="5"/>
      <c r="D411" s="11"/>
      <c r="E411" s="11"/>
      <c r="F411" s="12"/>
      <c r="G411" s="13" t="str">
        <f>IF(OR(D411="",E411=""),"",ROUND(MOD(E411-D411,1)*24-F411,2))</f>
        <v/>
      </c>
      <c r="H411" s="12"/>
      <c r="I411" s="13" t="str">
        <f>IF(H411&lt;&gt;"",H411,G411)</f>
        <v/>
      </c>
      <c r="J411" s="5"/>
      <c r="K411" s="6"/>
    </row>
    <row r="412" spans="1:11">
      <c r="A412" s="9"/>
      <c r="B412" s="10" t="str">
        <f>IF(A412="","",YEAR(A412)&amp;"/"&amp;RIGHT("0"&amp;MONTH(A412),2))</f>
        <v/>
      </c>
      <c r="C412" s="5"/>
      <c r="D412" s="11"/>
      <c r="E412" s="11"/>
      <c r="F412" s="12"/>
      <c r="G412" s="13" t="str">
        <f>IF(OR(D412="",E412=""),"",ROUND(MOD(E412-D412,1)*24-F412,2))</f>
        <v/>
      </c>
      <c r="H412" s="12"/>
      <c r="I412" s="13" t="str">
        <f>IF(H412&lt;&gt;"",H412,G412)</f>
        <v/>
      </c>
      <c r="J412" s="5"/>
      <c r="K412" s="6"/>
    </row>
    <row r="413" spans="1:11">
      <c r="A413" s="9"/>
      <c r="B413" s="10" t="str">
        <f>IF(A413="","",YEAR(A413)&amp;"/"&amp;RIGHT("0"&amp;MONTH(A413),2))</f>
        <v/>
      </c>
      <c r="C413" s="5"/>
      <c r="D413" s="11"/>
      <c r="E413" s="11"/>
      <c r="F413" s="12"/>
      <c r="G413" s="13" t="str">
        <f>IF(OR(D413="",E413=""),"",ROUND(MOD(E413-D413,1)*24-F413,2))</f>
        <v/>
      </c>
      <c r="H413" s="12"/>
      <c r="I413" s="13" t="str">
        <f>IF(H413&lt;&gt;"",H413,G413)</f>
        <v/>
      </c>
      <c r="J413" s="5"/>
      <c r="K413" s="6"/>
    </row>
    <row r="414" spans="1:11">
      <c r="A414" s="9"/>
      <c r="B414" s="10" t="str">
        <f>IF(A414="","",YEAR(A414)&amp;"/"&amp;RIGHT("0"&amp;MONTH(A414),2))</f>
        <v/>
      </c>
      <c r="C414" s="5"/>
      <c r="D414" s="11"/>
      <c r="E414" s="11"/>
      <c r="F414" s="12"/>
      <c r="G414" s="13" t="str">
        <f>IF(OR(D414="",E414=""),"",ROUND(MOD(E414-D414,1)*24-F414,2))</f>
        <v/>
      </c>
      <c r="H414" s="12"/>
      <c r="I414" s="13" t="str">
        <f>IF(H414&lt;&gt;"",H414,G414)</f>
        <v/>
      </c>
      <c r="J414" s="5"/>
      <c r="K414" s="6"/>
    </row>
    <row r="415" spans="1:11">
      <c r="A415" s="9"/>
      <c r="B415" s="10" t="str">
        <f>IF(A415="","",YEAR(A415)&amp;"/"&amp;RIGHT("0"&amp;MONTH(A415),2))</f>
        <v/>
      </c>
      <c r="C415" s="5"/>
      <c r="D415" s="11"/>
      <c r="E415" s="11"/>
      <c r="F415" s="12"/>
      <c r="G415" s="13" t="str">
        <f>IF(OR(D415="",E415=""),"",ROUND(MOD(E415-D415,1)*24-F415,2))</f>
        <v/>
      </c>
      <c r="H415" s="12"/>
      <c r="I415" s="13" t="str">
        <f>IF(H415&lt;&gt;"",H415,G415)</f>
        <v/>
      </c>
      <c r="J415" s="5"/>
      <c r="K415" s="6"/>
    </row>
    <row r="416" spans="1:11">
      <c r="A416" s="9"/>
      <c r="B416" s="10" t="str">
        <f>IF(A416="","",YEAR(A416)&amp;"/"&amp;RIGHT("0"&amp;MONTH(A416),2))</f>
        <v/>
      </c>
      <c r="C416" s="5"/>
      <c r="D416" s="11"/>
      <c r="E416" s="11"/>
      <c r="F416" s="12"/>
      <c r="G416" s="13" t="str">
        <f>IF(OR(D416="",E416=""),"",ROUND(MOD(E416-D416,1)*24-F416,2))</f>
        <v/>
      </c>
      <c r="H416" s="12"/>
      <c r="I416" s="13" t="str">
        <f>IF(H416&lt;&gt;"",H416,G416)</f>
        <v/>
      </c>
      <c r="J416" s="5"/>
      <c r="K416" s="6"/>
    </row>
    <row r="417" spans="1:11">
      <c r="A417" s="9"/>
      <c r="B417" s="10" t="str">
        <f>IF(A417="","",YEAR(A417)&amp;"/"&amp;RIGHT("0"&amp;MONTH(A417),2))</f>
        <v/>
      </c>
      <c r="C417" s="5"/>
      <c r="D417" s="11"/>
      <c r="E417" s="11"/>
      <c r="F417" s="12"/>
      <c r="G417" s="13" t="str">
        <f>IF(OR(D417="",E417=""),"",ROUND(MOD(E417-D417,1)*24-F417,2))</f>
        <v/>
      </c>
      <c r="H417" s="12"/>
      <c r="I417" s="13" t="str">
        <f>IF(H417&lt;&gt;"",H417,G417)</f>
        <v/>
      </c>
      <c r="J417" s="5"/>
      <c r="K417" s="6"/>
    </row>
    <row r="418" spans="1:11">
      <c r="A418" s="9"/>
      <c r="B418" s="10" t="str">
        <f>IF(A418="","",YEAR(A418)&amp;"/"&amp;RIGHT("0"&amp;MONTH(A418),2))</f>
        <v/>
      </c>
      <c r="C418" s="5"/>
      <c r="D418" s="11"/>
      <c r="E418" s="11"/>
      <c r="F418" s="12"/>
      <c r="G418" s="13" t="str">
        <f>IF(OR(D418="",E418=""),"",ROUND(MOD(E418-D418,1)*24-F418,2))</f>
        <v/>
      </c>
      <c r="H418" s="12"/>
      <c r="I418" s="13" t="str">
        <f>IF(H418&lt;&gt;"",H418,G418)</f>
        <v/>
      </c>
      <c r="J418" s="5"/>
      <c r="K418" s="6"/>
    </row>
    <row r="419" spans="1:11">
      <c r="A419" s="9"/>
      <c r="B419" s="10" t="str">
        <f>IF(A419="","",YEAR(A419)&amp;"/"&amp;RIGHT("0"&amp;MONTH(A419),2))</f>
        <v/>
      </c>
      <c r="C419" s="5"/>
      <c r="D419" s="11"/>
      <c r="E419" s="11"/>
      <c r="F419" s="12"/>
      <c r="G419" s="13" t="str">
        <f>IF(OR(D419="",E419=""),"",ROUND(MOD(E419-D419,1)*24-F419,2))</f>
        <v/>
      </c>
      <c r="H419" s="12"/>
      <c r="I419" s="13" t="str">
        <f>IF(H419&lt;&gt;"",H419,G419)</f>
        <v/>
      </c>
      <c r="J419" s="5"/>
      <c r="K419" s="6"/>
    </row>
    <row r="420" spans="1:11">
      <c r="A420" s="9"/>
      <c r="B420" s="10" t="str">
        <f>IF(A420="","",YEAR(A420)&amp;"/"&amp;RIGHT("0"&amp;MONTH(A420),2))</f>
        <v/>
      </c>
      <c r="C420" s="5"/>
      <c r="D420" s="11"/>
      <c r="E420" s="11"/>
      <c r="F420" s="12"/>
      <c r="G420" s="13" t="str">
        <f>IF(OR(D420="",E420=""),"",ROUND(MOD(E420-D420,1)*24-F420,2))</f>
        <v/>
      </c>
      <c r="H420" s="12"/>
      <c r="I420" s="13" t="str">
        <f>IF(H420&lt;&gt;"",H420,G420)</f>
        <v/>
      </c>
      <c r="J420" s="5"/>
      <c r="K420" s="6"/>
    </row>
    <row r="421" spans="1:11">
      <c r="A421" s="9"/>
      <c r="B421" s="10" t="str">
        <f>IF(A421="","",YEAR(A421)&amp;"/"&amp;RIGHT("0"&amp;MONTH(A421),2))</f>
        <v/>
      </c>
      <c r="C421" s="5"/>
      <c r="D421" s="11"/>
      <c r="E421" s="11"/>
      <c r="F421" s="12"/>
      <c r="G421" s="13" t="str">
        <f>IF(OR(D421="",E421=""),"",ROUND(MOD(E421-D421,1)*24-F421,2))</f>
        <v/>
      </c>
      <c r="H421" s="12"/>
      <c r="I421" s="13" t="str">
        <f>IF(H421&lt;&gt;"",H421,G421)</f>
        <v/>
      </c>
      <c r="J421" s="5"/>
      <c r="K421" s="6"/>
    </row>
    <row r="422" spans="1:11">
      <c r="A422" s="9"/>
      <c r="B422" s="10" t="str">
        <f>IF(A422="","",YEAR(A422)&amp;"/"&amp;RIGHT("0"&amp;MONTH(A422),2))</f>
        <v/>
      </c>
      <c r="C422" s="5"/>
      <c r="D422" s="11"/>
      <c r="E422" s="11"/>
      <c r="F422" s="12"/>
      <c r="G422" s="13" t="str">
        <f>IF(OR(D422="",E422=""),"",ROUND(MOD(E422-D422,1)*24-F422,2))</f>
        <v/>
      </c>
      <c r="H422" s="12"/>
      <c r="I422" s="13" t="str">
        <f>IF(H422&lt;&gt;"",H422,G422)</f>
        <v/>
      </c>
      <c r="J422" s="5"/>
      <c r="K422" s="6"/>
    </row>
    <row r="423" spans="1:11">
      <c r="A423" s="9"/>
      <c r="B423" s="10" t="str">
        <f>IF(A423="","",YEAR(A423)&amp;"/"&amp;RIGHT("0"&amp;MONTH(A423),2))</f>
        <v/>
      </c>
      <c r="C423" s="5"/>
      <c r="D423" s="11"/>
      <c r="E423" s="11"/>
      <c r="F423" s="12"/>
      <c r="G423" s="13" t="str">
        <f>IF(OR(D423="",E423=""),"",ROUND(MOD(E423-D423,1)*24-F423,2))</f>
        <v/>
      </c>
      <c r="H423" s="12"/>
      <c r="I423" s="13" t="str">
        <f>IF(H423&lt;&gt;"",H423,G423)</f>
        <v/>
      </c>
      <c r="J423" s="5"/>
      <c r="K423" s="6"/>
    </row>
    <row r="424" spans="1:11">
      <c r="A424" s="9"/>
      <c r="B424" s="10" t="str">
        <f>IF(A424="","",YEAR(A424)&amp;"/"&amp;RIGHT("0"&amp;MONTH(A424),2))</f>
        <v/>
      </c>
      <c r="C424" s="5"/>
      <c r="D424" s="11"/>
      <c r="E424" s="11"/>
      <c r="F424" s="12"/>
      <c r="G424" s="13" t="str">
        <f>IF(OR(D424="",E424=""),"",ROUND(MOD(E424-D424,1)*24-F424,2))</f>
        <v/>
      </c>
      <c r="H424" s="12"/>
      <c r="I424" s="13" t="str">
        <f>IF(H424&lt;&gt;"",H424,G424)</f>
        <v/>
      </c>
      <c r="J424" s="5"/>
      <c r="K424" s="6"/>
    </row>
    <row r="425" spans="1:11">
      <c r="A425" s="9"/>
      <c r="B425" s="10" t="str">
        <f>IF(A425="","",YEAR(A425)&amp;"/"&amp;RIGHT("0"&amp;MONTH(A425),2))</f>
        <v/>
      </c>
      <c r="C425" s="5"/>
      <c r="D425" s="11"/>
      <c r="E425" s="11"/>
      <c r="F425" s="12"/>
      <c r="G425" s="13" t="str">
        <f>IF(OR(D425="",E425=""),"",ROUND(MOD(E425-D425,1)*24-F425,2))</f>
        <v/>
      </c>
      <c r="H425" s="12"/>
      <c r="I425" s="13" t="str">
        <f>IF(H425&lt;&gt;"",H425,G425)</f>
        <v/>
      </c>
      <c r="J425" s="5"/>
      <c r="K425" s="6"/>
    </row>
    <row r="426" spans="1:11">
      <c r="A426" s="9"/>
      <c r="B426" s="10" t="str">
        <f>IF(A426="","",YEAR(A426)&amp;"/"&amp;RIGHT("0"&amp;MONTH(A426),2))</f>
        <v/>
      </c>
      <c r="C426" s="5"/>
      <c r="D426" s="11"/>
      <c r="E426" s="11"/>
      <c r="F426" s="12"/>
      <c r="G426" s="13" t="str">
        <f>IF(OR(D426="",E426=""),"",ROUND(MOD(E426-D426,1)*24-F426,2))</f>
        <v/>
      </c>
      <c r="H426" s="12"/>
      <c r="I426" s="13" t="str">
        <f>IF(H426&lt;&gt;"",H426,G426)</f>
        <v/>
      </c>
      <c r="J426" s="5"/>
      <c r="K426" s="6"/>
    </row>
    <row r="427" spans="1:11">
      <c r="A427" s="9"/>
      <c r="B427" s="10" t="str">
        <f>IF(A427="","",YEAR(A427)&amp;"/"&amp;RIGHT("0"&amp;MONTH(A427),2))</f>
        <v/>
      </c>
      <c r="C427" s="5"/>
      <c r="D427" s="11"/>
      <c r="E427" s="11"/>
      <c r="F427" s="12"/>
      <c r="G427" s="13" t="str">
        <f>IF(OR(D427="",E427=""),"",ROUND(MOD(E427-D427,1)*24-F427,2))</f>
        <v/>
      </c>
      <c r="H427" s="12"/>
      <c r="I427" s="13" t="str">
        <f>IF(H427&lt;&gt;"",H427,G427)</f>
        <v/>
      </c>
      <c r="J427" s="5"/>
      <c r="K427" s="6"/>
    </row>
    <row r="428" spans="1:11">
      <c r="A428" s="9"/>
      <c r="B428" s="10" t="str">
        <f>IF(A428="","",YEAR(A428)&amp;"/"&amp;RIGHT("0"&amp;MONTH(A428),2))</f>
        <v/>
      </c>
      <c r="C428" s="5"/>
      <c r="D428" s="11"/>
      <c r="E428" s="11"/>
      <c r="F428" s="12"/>
      <c r="G428" s="13" t="str">
        <f>IF(OR(D428="",E428=""),"",ROUND(MOD(E428-D428,1)*24-F428,2))</f>
        <v/>
      </c>
      <c r="H428" s="12"/>
      <c r="I428" s="13" t="str">
        <f>IF(H428&lt;&gt;"",H428,G428)</f>
        <v/>
      </c>
      <c r="J428" s="5"/>
      <c r="K428" s="6"/>
    </row>
    <row r="429" spans="1:11">
      <c r="A429" s="9"/>
      <c r="B429" s="10" t="str">
        <f>IF(A429="","",YEAR(A429)&amp;"/"&amp;RIGHT("0"&amp;MONTH(A429),2))</f>
        <v/>
      </c>
      <c r="C429" s="5"/>
      <c r="D429" s="11"/>
      <c r="E429" s="11"/>
      <c r="F429" s="12"/>
      <c r="G429" s="13" t="str">
        <f>IF(OR(D429="",E429=""),"",ROUND(MOD(E429-D429,1)*24-F429,2))</f>
        <v/>
      </c>
      <c r="H429" s="12"/>
      <c r="I429" s="13" t="str">
        <f>IF(H429&lt;&gt;"",H429,G429)</f>
        <v/>
      </c>
      <c r="J429" s="5"/>
      <c r="K429" s="6"/>
    </row>
    <row r="430" spans="1:11">
      <c r="A430" s="9"/>
      <c r="B430" s="10" t="str">
        <f>IF(A430="","",YEAR(A430)&amp;"/"&amp;RIGHT("0"&amp;MONTH(A430),2))</f>
        <v/>
      </c>
      <c r="C430" s="5"/>
      <c r="D430" s="11"/>
      <c r="E430" s="11"/>
      <c r="F430" s="12"/>
      <c r="G430" s="13" t="str">
        <f>IF(OR(D430="",E430=""),"",ROUND(MOD(E430-D430,1)*24-F430,2))</f>
        <v/>
      </c>
      <c r="H430" s="12"/>
      <c r="I430" s="13" t="str">
        <f>IF(H430&lt;&gt;"",H430,G430)</f>
        <v/>
      </c>
      <c r="J430" s="5"/>
      <c r="K430" s="6"/>
    </row>
    <row r="431" spans="1:11">
      <c r="A431" s="9"/>
      <c r="B431" s="10" t="str">
        <f>IF(A431="","",YEAR(A431)&amp;"/"&amp;RIGHT("0"&amp;MONTH(A431),2))</f>
        <v/>
      </c>
      <c r="C431" s="5"/>
      <c r="D431" s="11"/>
      <c r="E431" s="11"/>
      <c r="F431" s="12"/>
      <c r="G431" s="13" t="str">
        <f>IF(OR(D431="",E431=""),"",ROUND(MOD(E431-D431,1)*24-F431,2))</f>
        <v/>
      </c>
      <c r="H431" s="12"/>
      <c r="I431" s="13" t="str">
        <f>IF(H431&lt;&gt;"",H431,G431)</f>
        <v/>
      </c>
      <c r="J431" s="5"/>
      <c r="K431" s="6"/>
    </row>
    <row r="432" spans="1:11">
      <c r="A432" s="9"/>
      <c r="B432" s="10" t="str">
        <f>IF(A432="","",YEAR(A432)&amp;"/"&amp;RIGHT("0"&amp;MONTH(A432),2))</f>
        <v/>
      </c>
      <c r="C432" s="5"/>
      <c r="D432" s="11"/>
      <c r="E432" s="11"/>
      <c r="F432" s="12"/>
      <c r="G432" s="13" t="str">
        <f>IF(OR(D432="",E432=""),"",ROUND(MOD(E432-D432,1)*24-F432,2))</f>
        <v/>
      </c>
      <c r="H432" s="12"/>
      <c r="I432" s="13" t="str">
        <f>IF(H432&lt;&gt;"",H432,G432)</f>
        <v/>
      </c>
      <c r="J432" s="5"/>
      <c r="K432" s="6"/>
    </row>
    <row r="433" spans="1:11">
      <c r="A433" s="9"/>
      <c r="B433" s="10" t="str">
        <f>IF(A433="","",YEAR(A433)&amp;"/"&amp;RIGHT("0"&amp;MONTH(A433),2))</f>
        <v/>
      </c>
      <c r="C433" s="5"/>
      <c r="D433" s="11"/>
      <c r="E433" s="11"/>
      <c r="F433" s="12"/>
      <c r="G433" s="13" t="str">
        <f>IF(OR(D433="",E433=""),"",ROUND(MOD(E433-D433,1)*24-F433,2))</f>
        <v/>
      </c>
      <c r="H433" s="12"/>
      <c r="I433" s="13" t="str">
        <f>IF(H433&lt;&gt;"",H433,G433)</f>
        <v/>
      </c>
      <c r="J433" s="5"/>
      <c r="K433" s="6"/>
    </row>
    <row r="434" spans="1:11">
      <c r="A434" s="9"/>
      <c r="B434" s="10" t="str">
        <f>IF(A434="","",YEAR(A434)&amp;"/"&amp;RIGHT("0"&amp;MONTH(A434),2))</f>
        <v/>
      </c>
      <c r="C434" s="5"/>
      <c r="D434" s="11"/>
      <c r="E434" s="11"/>
      <c r="F434" s="12"/>
      <c r="G434" s="13" t="str">
        <f>IF(OR(D434="",E434=""),"",ROUND(MOD(E434-D434,1)*24-F434,2))</f>
        <v/>
      </c>
      <c r="H434" s="12"/>
      <c r="I434" s="13" t="str">
        <f>IF(H434&lt;&gt;"",H434,G434)</f>
        <v/>
      </c>
      <c r="J434" s="5"/>
      <c r="K434" s="6"/>
    </row>
    <row r="435" spans="1:11">
      <c r="A435" s="9"/>
      <c r="B435" s="10" t="str">
        <f>IF(A435="","",YEAR(A435)&amp;"/"&amp;RIGHT("0"&amp;MONTH(A435),2))</f>
        <v/>
      </c>
      <c r="C435" s="5"/>
      <c r="D435" s="11"/>
      <c r="E435" s="11"/>
      <c r="F435" s="12"/>
      <c r="G435" s="13" t="str">
        <f>IF(OR(D435="",E435=""),"",ROUND(MOD(E435-D435,1)*24-F435,2))</f>
        <v/>
      </c>
      <c r="H435" s="12"/>
      <c r="I435" s="13" t="str">
        <f>IF(H435&lt;&gt;"",H435,G435)</f>
        <v/>
      </c>
      <c r="J435" s="5"/>
      <c r="K435" s="6"/>
    </row>
    <row r="436" spans="1:11">
      <c r="A436" s="9"/>
      <c r="B436" s="10" t="str">
        <f>IF(A436="","",YEAR(A436)&amp;"/"&amp;RIGHT("0"&amp;MONTH(A436),2))</f>
        <v/>
      </c>
      <c r="C436" s="5"/>
      <c r="D436" s="11"/>
      <c r="E436" s="11"/>
      <c r="F436" s="12"/>
      <c r="G436" s="13" t="str">
        <f>IF(OR(D436="",E436=""),"",ROUND(MOD(E436-D436,1)*24-F436,2))</f>
        <v/>
      </c>
      <c r="H436" s="12"/>
      <c r="I436" s="13" t="str">
        <f>IF(H436&lt;&gt;"",H436,G436)</f>
        <v/>
      </c>
      <c r="J436" s="5"/>
      <c r="K436" s="6"/>
    </row>
    <row r="437" spans="1:11">
      <c r="A437" s="9"/>
      <c r="B437" s="10" t="str">
        <f>IF(A437="","",YEAR(A437)&amp;"/"&amp;RIGHT("0"&amp;MONTH(A437),2))</f>
        <v/>
      </c>
      <c r="C437" s="5"/>
      <c r="D437" s="11"/>
      <c r="E437" s="11"/>
      <c r="F437" s="12"/>
      <c r="G437" s="13" t="str">
        <f>IF(OR(D437="",E437=""),"",ROUND(MOD(E437-D437,1)*24-F437,2))</f>
        <v/>
      </c>
      <c r="H437" s="12"/>
      <c r="I437" s="13" t="str">
        <f>IF(H437&lt;&gt;"",H437,G437)</f>
        <v/>
      </c>
      <c r="J437" s="5"/>
      <c r="K437" s="6"/>
    </row>
    <row r="438" spans="1:11">
      <c r="A438" s="9"/>
      <c r="B438" s="10" t="str">
        <f>IF(A438="","",YEAR(A438)&amp;"/"&amp;RIGHT("0"&amp;MONTH(A438),2))</f>
        <v/>
      </c>
      <c r="C438" s="5"/>
      <c r="D438" s="11"/>
      <c r="E438" s="11"/>
      <c r="F438" s="12"/>
      <c r="G438" s="13" t="str">
        <f>IF(OR(D438="",E438=""),"",ROUND(MOD(E438-D438,1)*24-F438,2))</f>
        <v/>
      </c>
      <c r="H438" s="12"/>
      <c r="I438" s="13" t="str">
        <f>IF(H438&lt;&gt;"",H438,G438)</f>
        <v/>
      </c>
      <c r="J438" s="5"/>
      <c r="K438" s="6"/>
    </row>
    <row r="439" spans="1:11">
      <c r="A439" s="9"/>
      <c r="B439" s="10" t="str">
        <f>IF(A439="","",YEAR(A439)&amp;"/"&amp;RIGHT("0"&amp;MONTH(A439),2))</f>
        <v/>
      </c>
      <c r="C439" s="5"/>
      <c r="D439" s="11"/>
      <c r="E439" s="11"/>
      <c r="F439" s="12"/>
      <c r="G439" s="13" t="str">
        <f>IF(OR(D439="",E439=""),"",ROUND(MOD(E439-D439,1)*24-F439,2))</f>
        <v/>
      </c>
      <c r="H439" s="12"/>
      <c r="I439" s="13" t="str">
        <f>IF(H439&lt;&gt;"",H439,G439)</f>
        <v/>
      </c>
      <c r="J439" s="5"/>
      <c r="K439" s="6"/>
    </row>
    <row r="440" spans="1:11">
      <c r="A440" s="9"/>
      <c r="B440" s="10" t="str">
        <f>IF(A440="","",YEAR(A440)&amp;"/"&amp;RIGHT("0"&amp;MONTH(A440),2))</f>
        <v/>
      </c>
      <c r="C440" s="5"/>
      <c r="D440" s="11"/>
      <c r="E440" s="11"/>
      <c r="F440" s="12"/>
      <c r="G440" s="13" t="str">
        <f>IF(OR(D440="",E440=""),"",ROUND(MOD(E440-D440,1)*24-F440,2))</f>
        <v/>
      </c>
      <c r="H440" s="12"/>
      <c r="I440" s="13" t="str">
        <f>IF(H440&lt;&gt;"",H440,G440)</f>
        <v/>
      </c>
      <c r="J440" s="5"/>
      <c r="K440" s="6"/>
    </row>
    <row r="441" spans="1:11">
      <c r="A441" s="9"/>
      <c r="B441" s="10" t="str">
        <f>IF(A441="","",YEAR(A441)&amp;"/"&amp;RIGHT("0"&amp;MONTH(A441),2))</f>
        <v/>
      </c>
      <c r="C441" s="5"/>
      <c r="D441" s="11"/>
      <c r="E441" s="11"/>
      <c r="F441" s="12"/>
      <c r="G441" s="13" t="str">
        <f>IF(OR(D441="",E441=""),"",ROUND(MOD(E441-D441,1)*24-F441,2))</f>
        <v/>
      </c>
      <c r="H441" s="12"/>
      <c r="I441" s="13" t="str">
        <f>IF(H441&lt;&gt;"",H441,G441)</f>
        <v/>
      </c>
      <c r="J441" s="5"/>
      <c r="K441" s="6"/>
    </row>
    <row r="442" spans="1:11">
      <c r="A442" s="9"/>
      <c r="B442" s="10" t="str">
        <f>IF(A442="","",YEAR(A442)&amp;"/"&amp;RIGHT("0"&amp;MONTH(A442),2))</f>
        <v/>
      </c>
      <c r="C442" s="5"/>
      <c r="D442" s="11"/>
      <c r="E442" s="11"/>
      <c r="F442" s="12"/>
      <c r="G442" s="13" t="str">
        <f>IF(OR(D442="",E442=""),"",ROUND(MOD(E442-D442,1)*24-F442,2))</f>
        <v/>
      </c>
      <c r="H442" s="12"/>
      <c r="I442" s="13" t="str">
        <f>IF(H442&lt;&gt;"",H442,G442)</f>
        <v/>
      </c>
      <c r="J442" s="5"/>
      <c r="K442" s="6"/>
    </row>
    <row r="443" spans="1:11">
      <c r="A443" s="9"/>
      <c r="B443" s="10" t="str">
        <f>IF(A443="","",YEAR(A443)&amp;"/"&amp;RIGHT("0"&amp;MONTH(A443),2))</f>
        <v/>
      </c>
      <c r="C443" s="5"/>
      <c r="D443" s="11"/>
      <c r="E443" s="11"/>
      <c r="F443" s="12"/>
      <c r="G443" s="13" t="str">
        <f>IF(OR(D443="",E443=""),"",ROUND(MOD(E443-D443,1)*24-F443,2))</f>
        <v/>
      </c>
      <c r="H443" s="12"/>
      <c r="I443" s="13" t="str">
        <f>IF(H443&lt;&gt;"",H443,G443)</f>
        <v/>
      </c>
      <c r="J443" s="5"/>
      <c r="K443" s="6"/>
    </row>
    <row r="444" spans="1:11">
      <c r="A444" s="9"/>
      <c r="B444" s="10" t="str">
        <f>IF(A444="","",YEAR(A444)&amp;"/"&amp;RIGHT("0"&amp;MONTH(A444),2))</f>
        <v/>
      </c>
      <c r="C444" s="5"/>
      <c r="D444" s="11"/>
      <c r="E444" s="11"/>
      <c r="F444" s="12"/>
      <c r="G444" s="13" t="str">
        <f>IF(OR(D444="",E444=""),"",ROUND(MOD(E444-D444,1)*24-F444,2))</f>
        <v/>
      </c>
      <c r="H444" s="12"/>
      <c r="I444" s="13" t="str">
        <f>IF(H444&lt;&gt;"",H444,G444)</f>
        <v/>
      </c>
      <c r="J444" s="5"/>
      <c r="K444" s="6"/>
    </row>
    <row r="445" spans="1:11">
      <c r="A445" s="9"/>
      <c r="B445" s="10" t="str">
        <f>IF(A445="","",YEAR(A445)&amp;"/"&amp;RIGHT("0"&amp;MONTH(A445),2))</f>
        <v/>
      </c>
      <c r="C445" s="5"/>
      <c r="D445" s="11"/>
      <c r="E445" s="11"/>
      <c r="F445" s="12"/>
      <c r="G445" s="13" t="str">
        <f>IF(OR(D445="",E445=""),"",ROUND(MOD(E445-D445,1)*24-F445,2))</f>
        <v/>
      </c>
      <c r="H445" s="12"/>
      <c r="I445" s="13" t="str">
        <f>IF(H445&lt;&gt;"",H445,G445)</f>
        <v/>
      </c>
      <c r="J445" s="5"/>
      <c r="K445" s="6"/>
    </row>
    <row r="446" spans="1:11">
      <c r="A446" s="9"/>
      <c r="B446" s="10" t="str">
        <f>IF(A446="","",YEAR(A446)&amp;"/"&amp;RIGHT("0"&amp;MONTH(A446),2))</f>
        <v/>
      </c>
      <c r="C446" s="5"/>
      <c r="D446" s="11"/>
      <c r="E446" s="11"/>
      <c r="F446" s="12"/>
      <c r="G446" s="13" t="str">
        <f>IF(OR(D446="",E446=""),"",ROUND(MOD(E446-D446,1)*24-F446,2))</f>
        <v/>
      </c>
      <c r="H446" s="12"/>
      <c r="I446" s="13" t="str">
        <f>IF(H446&lt;&gt;"",H446,G446)</f>
        <v/>
      </c>
      <c r="J446" s="5"/>
      <c r="K446" s="6"/>
    </row>
    <row r="447" spans="1:11">
      <c r="A447" s="9"/>
      <c r="B447" s="10" t="str">
        <f>IF(A447="","",YEAR(A447)&amp;"/"&amp;RIGHT("0"&amp;MONTH(A447),2))</f>
        <v/>
      </c>
      <c r="C447" s="5"/>
      <c r="D447" s="11"/>
      <c r="E447" s="11"/>
      <c r="F447" s="12"/>
      <c r="G447" s="13" t="str">
        <f>IF(OR(D447="",E447=""),"",ROUND(MOD(E447-D447,1)*24-F447,2))</f>
        <v/>
      </c>
      <c r="H447" s="12"/>
      <c r="I447" s="13" t="str">
        <f>IF(H447&lt;&gt;"",H447,G447)</f>
        <v/>
      </c>
      <c r="J447" s="5"/>
      <c r="K447" s="6"/>
    </row>
    <row r="448" spans="1:11">
      <c r="A448" s="9"/>
      <c r="B448" s="10" t="str">
        <f>IF(A448="","",YEAR(A448)&amp;"/"&amp;RIGHT("0"&amp;MONTH(A448),2))</f>
        <v/>
      </c>
      <c r="C448" s="5"/>
      <c r="D448" s="11"/>
      <c r="E448" s="11"/>
      <c r="F448" s="12"/>
      <c r="G448" s="13" t="str">
        <f>IF(OR(D448="",E448=""),"",ROUND(MOD(E448-D448,1)*24-F448,2))</f>
        <v/>
      </c>
      <c r="H448" s="12"/>
      <c r="I448" s="13" t="str">
        <f>IF(H448&lt;&gt;"",H448,G448)</f>
        <v/>
      </c>
      <c r="J448" s="5"/>
      <c r="K448" s="6"/>
    </row>
    <row r="449" spans="1:11">
      <c r="A449" s="9"/>
      <c r="B449" s="10" t="str">
        <f>IF(A449="","",YEAR(A449)&amp;"/"&amp;RIGHT("0"&amp;MONTH(A449),2))</f>
        <v/>
      </c>
      <c r="C449" s="5"/>
      <c r="D449" s="11"/>
      <c r="E449" s="11"/>
      <c r="F449" s="12"/>
      <c r="G449" s="13" t="str">
        <f>IF(OR(D449="",E449=""),"",ROUND(MOD(E449-D449,1)*24-F449,2))</f>
        <v/>
      </c>
      <c r="H449" s="12"/>
      <c r="I449" s="13" t="str">
        <f>IF(H449&lt;&gt;"",H449,G449)</f>
        <v/>
      </c>
      <c r="J449" s="5"/>
      <c r="K449" s="6"/>
    </row>
    <row r="450" spans="1:11">
      <c r="A450" s="9"/>
      <c r="B450" s="10" t="str">
        <f>IF(A450="","",YEAR(A450)&amp;"/"&amp;RIGHT("0"&amp;MONTH(A450),2))</f>
        <v/>
      </c>
      <c r="C450" s="5"/>
      <c r="D450" s="11"/>
      <c r="E450" s="11"/>
      <c r="F450" s="12"/>
      <c r="G450" s="13" t="str">
        <f>IF(OR(D450="",E450=""),"",ROUND(MOD(E450-D450,1)*24-F450,2))</f>
        <v/>
      </c>
      <c r="H450" s="12"/>
      <c r="I450" s="13" t="str">
        <f>IF(H450&lt;&gt;"",H450,G450)</f>
        <v/>
      </c>
      <c r="J450" s="5"/>
      <c r="K450" s="6"/>
    </row>
    <row r="451" spans="1:11">
      <c r="A451" s="9"/>
      <c r="B451" s="10" t="str">
        <f>IF(A451="","",YEAR(A451)&amp;"/"&amp;RIGHT("0"&amp;MONTH(A451),2))</f>
        <v/>
      </c>
      <c r="C451" s="5"/>
      <c r="D451" s="11"/>
      <c r="E451" s="11"/>
      <c r="F451" s="12"/>
      <c r="G451" s="13" t="str">
        <f>IF(OR(D451="",E451=""),"",ROUND(MOD(E451-D451,1)*24-F451,2))</f>
        <v/>
      </c>
      <c r="H451" s="12"/>
      <c r="I451" s="13" t="str">
        <f>IF(H451&lt;&gt;"",H451,G451)</f>
        <v/>
      </c>
      <c r="J451" s="5"/>
      <c r="K451" s="6"/>
    </row>
    <row r="452" spans="1:11">
      <c r="A452" s="9"/>
      <c r="B452" s="10" t="str">
        <f>IF(A452="","",YEAR(A452)&amp;"/"&amp;RIGHT("0"&amp;MONTH(A452),2))</f>
        <v/>
      </c>
      <c r="C452" s="5"/>
      <c r="D452" s="11"/>
      <c r="E452" s="11"/>
      <c r="F452" s="12"/>
      <c r="G452" s="13" t="str">
        <f>IF(OR(D452="",E452=""),"",ROUND(MOD(E452-D452,1)*24-F452,2))</f>
        <v/>
      </c>
      <c r="H452" s="12"/>
      <c r="I452" s="13" t="str">
        <f>IF(H452&lt;&gt;"",H452,G452)</f>
        <v/>
      </c>
      <c r="J452" s="5"/>
      <c r="K452" s="6"/>
    </row>
    <row r="453" spans="1:11">
      <c r="A453" s="9"/>
      <c r="B453" s="10" t="str">
        <f>IF(A453="","",YEAR(A453)&amp;"/"&amp;RIGHT("0"&amp;MONTH(A453),2))</f>
        <v/>
      </c>
      <c r="C453" s="5"/>
      <c r="D453" s="11"/>
      <c r="E453" s="11"/>
      <c r="F453" s="12"/>
      <c r="G453" s="13" t="str">
        <f>IF(OR(D453="",E453=""),"",ROUND(MOD(E453-D453,1)*24-F453,2))</f>
        <v/>
      </c>
      <c r="H453" s="12"/>
      <c r="I453" s="13" t="str">
        <f>IF(H453&lt;&gt;"",H453,G453)</f>
        <v/>
      </c>
      <c r="J453" s="5"/>
      <c r="K453" s="6"/>
    </row>
    <row r="454" spans="1:11">
      <c r="A454" s="9"/>
      <c r="B454" s="10" t="str">
        <f>IF(A454="","",YEAR(A454)&amp;"/"&amp;RIGHT("0"&amp;MONTH(A454),2))</f>
        <v/>
      </c>
      <c r="C454" s="5"/>
      <c r="D454" s="11"/>
      <c r="E454" s="11"/>
      <c r="F454" s="12"/>
      <c r="G454" s="13" t="str">
        <f>IF(OR(D454="",E454=""),"",ROUND(MOD(E454-D454,1)*24-F454,2))</f>
        <v/>
      </c>
      <c r="H454" s="12"/>
      <c r="I454" s="13" t="str">
        <f>IF(H454&lt;&gt;"",H454,G454)</f>
        <v/>
      </c>
      <c r="J454" s="5"/>
      <c r="K454" s="6"/>
    </row>
    <row r="455" spans="1:11">
      <c r="A455" s="9"/>
      <c r="B455" s="10" t="str">
        <f>IF(A455="","",YEAR(A455)&amp;"/"&amp;RIGHT("0"&amp;MONTH(A455),2))</f>
        <v/>
      </c>
      <c r="C455" s="5"/>
      <c r="D455" s="11"/>
      <c r="E455" s="11"/>
      <c r="F455" s="12"/>
      <c r="G455" s="13" t="str">
        <f>IF(OR(D455="",E455=""),"",ROUND(MOD(E455-D455,1)*24-F455,2))</f>
        <v/>
      </c>
      <c r="H455" s="12"/>
      <c r="I455" s="13" t="str">
        <f>IF(H455&lt;&gt;"",H455,G455)</f>
        <v/>
      </c>
      <c r="J455" s="5"/>
      <c r="K455" s="6"/>
    </row>
    <row r="456" spans="1:11">
      <c r="A456" s="9"/>
      <c r="B456" s="10" t="str">
        <f>IF(A456="","",YEAR(A456)&amp;"/"&amp;RIGHT("0"&amp;MONTH(A456),2))</f>
        <v/>
      </c>
      <c r="C456" s="5"/>
      <c r="D456" s="11"/>
      <c r="E456" s="11"/>
      <c r="F456" s="12"/>
      <c r="G456" s="13" t="str">
        <f>IF(OR(D456="",E456=""),"",ROUND(MOD(E456-D456,1)*24-F456,2))</f>
        <v/>
      </c>
      <c r="H456" s="12"/>
      <c r="I456" s="13" t="str">
        <f>IF(H456&lt;&gt;"",H456,G456)</f>
        <v/>
      </c>
      <c r="J456" s="5"/>
      <c r="K456" s="6"/>
    </row>
    <row r="457" spans="1:11">
      <c r="A457" s="9"/>
      <c r="B457" s="10" t="str">
        <f>IF(A457="","",YEAR(A457)&amp;"/"&amp;RIGHT("0"&amp;MONTH(A457),2))</f>
        <v/>
      </c>
      <c r="C457" s="5"/>
      <c r="D457" s="11"/>
      <c r="E457" s="11"/>
      <c r="F457" s="12"/>
      <c r="G457" s="13" t="str">
        <f>IF(OR(D457="",E457=""),"",ROUND(MOD(E457-D457,1)*24-F457,2))</f>
        <v/>
      </c>
      <c r="H457" s="12"/>
      <c r="I457" s="13" t="str">
        <f>IF(H457&lt;&gt;"",H457,G457)</f>
        <v/>
      </c>
      <c r="J457" s="5"/>
      <c r="K457" s="6"/>
    </row>
    <row r="458" spans="1:11">
      <c r="A458" s="9"/>
      <c r="B458" s="10" t="str">
        <f>IF(A458="","",YEAR(A458)&amp;"/"&amp;RIGHT("0"&amp;MONTH(A458),2))</f>
        <v/>
      </c>
      <c r="C458" s="5"/>
      <c r="D458" s="11"/>
      <c r="E458" s="11"/>
      <c r="F458" s="12"/>
      <c r="G458" s="13" t="str">
        <f>IF(OR(D458="",E458=""),"",ROUND(MOD(E458-D458,1)*24-F458,2))</f>
        <v/>
      </c>
      <c r="H458" s="12"/>
      <c r="I458" s="13" t="str">
        <f>IF(H458&lt;&gt;"",H458,G458)</f>
        <v/>
      </c>
      <c r="J458" s="5"/>
      <c r="K458" s="6"/>
    </row>
    <row r="459" spans="1:11">
      <c r="A459" s="9"/>
      <c r="B459" s="10" t="str">
        <f>IF(A459="","",YEAR(A459)&amp;"/"&amp;RIGHT("0"&amp;MONTH(A459),2))</f>
        <v/>
      </c>
      <c r="C459" s="5"/>
      <c r="D459" s="11"/>
      <c r="E459" s="11"/>
      <c r="F459" s="12"/>
      <c r="G459" s="13" t="str">
        <f>IF(OR(D459="",E459=""),"",ROUND(MOD(E459-D459,1)*24-F459,2))</f>
        <v/>
      </c>
      <c r="H459" s="12"/>
      <c r="I459" s="13" t="str">
        <f>IF(H459&lt;&gt;"",H459,G459)</f>
        <v/>
      </c>
      <c r="J459" s="5"/>
      <c r="K459" s="6"/>
    </row>
    <row r="460" spans="1:11">
      <c r="A460" s="9"/>
      <c r="B460" s="10" t="str">
        <f>IF(A460="","",YEAR(A460)&amp;"/"&amp;RIGHT("0"&amp;MONTH(A460),2))</f>
        <v/>
      </c>
      <c r="C460" s="5"/>
      <c r="D460" s="11"/>
      <c r="E460" s="11"/>
      <c r="F460" s="12"/>
      <c r="G460" s="13" t="str">
        <f>IF(OR(D460="",E460=""),"",ROUND(MOD(E460-D460,1)*24-F460,2))</f>
        <v/>
      </c>
      <c r="H460" s="12"/>
      <c r="I460" s="13" t="str">
        <f>IF(H460&lt;&gt;"",H460,G460)</f>
        <v/>
      </c>
      <c r="J460" s="5"/>
      <c r="K460" s="6"/>
    </row>
    <row r="461" spans="1:11">
      <c r="A461" s="9"/>
      <c r="B461" s="10" t="str">
        <f>IF(A461="","",YEAR(A461)&amp;"/"&amp;RIGHT("0"&amp;MONTH(A461),2))</f>
        <v/>
      </c>
      <c r="C461" s="5"/>
      <c r="D461" s="11"/>
      <c r="E461" s="11"/>
      <c r="F461" s="12"/>
      <c r="G461" s="13" t="str">
        <f>IF(OR(D461="",E461=""),"",ROUND(MOD(E461-D461,1)*24-F461,2))</f>
        <v/>
      </c>
      <c r="H461" s="12"/>
      <c r="I461" s="13" t="str">
        <f>IF(H461&lt;&gt;"",H461,G461)</f>
        <v/>
      </c>
      <c r="J461" s="5"/>
      <c r="K461" s="6"/>
    </row>
    <row r="462" spans="1:11">
      <c r="A462" s="9"/>
      <c r="B462" s="10" t="str">
        <f>IF(A462="","",YEAR(A462)&amp;"/"&amp;RIGHT("0"&amp;MONTH(A462),2))</f>
        <v/>
      </c>
      <c r="C462" s="5"/>
      <c r="D462" s="11"/>
      <c r="E462" s="11"/>
      <c r="F462" s="12"/>
      <c r="G462" s="13" t="str">
        <f>IF(OR(D462="",E462=""),"",ROUND(MOD(E462-D462,1)*24-F462,2))</f>
        <v/>
      </c>
      <c r="H462" s="12"/>
      <c r="I462" s="13" t="str">
        <f>IF(H462&lt;&gt;"",H462,G462)</f>
        <v/>
      </c>
      <c r="J462" s="5"/>
      <c r="K462" s="6"/>
    </row>
    <row r="463" spans="1:11">
      <c r="A463" s="9"/>
      <c r="B463" s="10" t="str">
        <f>IF(A463="","",YEAR(A463)&amp;"/"&amp;RIGHT("0"&amp;MONTH(A463),2))</f>
        <v/>
      </c>
      <c r="C463" s="5"/>
      <c r="D463" s="11"/>
      <c r="E463" s="11"/>
      <c r="F463" s="12"/>
      <c r="G463" s="13" t="str">
        <f>IF(OR(D463="",E463=""),"",ROUND(MOD(E463-D463,1)*24-F463,2))</f>
        <v/>
      </c>
      <c r="H463" s="12"/>
      <c r="I463" s="13" t="str">
        <f>IF(H463&lt;&gt;"",H463,G463)</f>
        <v/>
      </c>
      <c r="J463" s="5"/>
      <c r="K463" s="6"/>
    </row>
    <row r="464" spans="1:11">
      <c r="A464" s="9"/>
      <c r="B464" s="10" t="str">
        <f>IF(A464="","",YEAR(A464)&amp;"/"&amp;RIGHT("0"&amp;MONTH(A464),2))</f>
        <v/>
      </c>
      <c r="C464" s="5"/>
      <c r="D464" s="11"/>
      <c r="E464" s="11"/>
      <c r="F464" s="12"/>
      <c r="G464" s="13" t="str">
        <f>IF(OR(D464="",E464=""),"",ROUND(MOD(E464-D464,1)*24-F464,2))</f>
        <v/>
      </c>
      <c r="H464" s="12"/>
      <c r="I464" s="13" t="str">
        <f>IF(H464&lt;&gt;"",H464,G464)</f>
        <v/>
      </c>
      <c r="J464" s="5"/>
      <c r="K464" s="6"/>
    </row>
    <row r="465" spans="1:11">
      <c r="A465" s="9"/>
      <c r="B465" s="10" t="str">
        <f>IF(A465="","",YEAR(A465)&amp;"/"&amp;RIGHT("0"&amp;MONTH(A465),2))</f>
        <v/>
      </c>
      <c r="C465" s="5"/>
      <c r="D465" s="11"/>
      <c r="E465" s="11"/>
      <c r="F465" s="12"/>
      <c r="G465" s="13" t="str">
        <f>IF(OR(D465="",E465=""),"",ROUND(MOD(E465-D465,1)*24-F465,2))</f>
        <v/>
      </c>
      <c r="H465" s="12"/>
      <c r="I465" s="13" t="str">
        <f>IF(H465&lt;&gt;"",H465,G465)</f>
        <v/>
      </c>
      <c r="J465" s="5"/>
      <c r="K465" s="6"/>
    </row>
    <row r="466" spans="1:11">
      <c r="A466" s="9"/>
      <c r="B466" s="10" t="str">
        <f>IF(A466="","",YEAR(A466)&amp;"/"&amp;RIGHT("0"&amp;MONTH(A466),2))</f>
        <v/>
      </c>
      <c r="C466" s="5"/>
      <c r="D466" s="11"/>
      <c r="E466" s="11"/>
      <c r="F466" s="12"/>
      <c r="G466" s="13" t="str">
        <f>IF(OR(D466="",E466=""),"",ROUND(MOD(E466-D466,1)*24-F466,2))</f>
        <v/>
      </c>
      <c r="H466" s="12"/>
      <c r="I466" s="13" t="str">
        <f>IF(H466&lt;&gt;"",H466,G466)</f>
        <v/>
      </c>
      <c r="J466" s="5"/>
      <c r="K466" s="6"/>
    </row>
    <row r="467" spans="1:11">
      <c r="A467" s="9"/>
      <c r="B467" s="10" t="str">
        <f>IF(A467="","",YEAR(A467)&amp;"/"&amp;RIGHT("0"&amp;MONTH(A467),2))</f>
        <v/>
      </c>
      <c r="C467" s="5"/>
      <c r="D467" s="11"/>
      <c r="E467" s="11"/>
      <c r="F467" s="12"/>
      <c r="G467" s="13" t="str">
        <f>IF(OR(D467="",E467=""),"",ROUND(MOD(E467-D467,1)*24-F467,2))</f>
        <v/>
      </c>
      <c r="H467" s="12"/>
      <c r="I467" s="13" t="str">
        <f>IF(H467&lt;&gt;"",H467,G467)</f>
        <v/>
      </c>
      <c r="J467" s="5"/>
      <c r="K467" s="6"/>
    </row>
    <row r="468" spans="1:11">
      <c r="A468" s="9"/>
      <c r="B468" s="10" t="str">
        <f>IF(A468="","",YEAR(A468)&amp;"/"&amp;RIGHT("0"&amp;MONTH(A468),2))</f>
        <v/>
      </c>
      <c r="C468" s="5"/>
      <c r="D468" s="11"/>
      <c r="E468" s="11"/>
      <c r="F468" s="12"/>
      <c r="G468" s="13" t="str">
        <f>IF(OR(D468="",E468=""),"",ROUND(MOD(E468-D468,1)*24-F468,2))</f>
        <v/>
      </c>
      <c r="H468" s="12"/>
      <c r="I468" s="13" t="str">
        <f>IF(H468&lt;&gt;"",H468,G468)</f>
        <v/>
      </c>
      <c r="J468" s="5"/>
      <c r="K468" s="6"/>
    </row>
    <row r="469" spans="1:11">
      <c r="A469" s="9"/>
      <c r="B469" s="10" t="str">
        <f>IF(A469="","",YEAR(A469)&amp;"/"&amp;RIGHT("0"&amp;MONTH(A469),2))</f>
        <v/>
      </c>
      <c r="C469" s="5"/>
      <c r="D469" s="11"/>
      <c r="E469" s="11"/>
      <c r="F469" s="12"/>
      <c r="G469" s="13" t="str">
        <f>IF(OR(D469="",E469=""),"",ROUND(MOD(E469-D469,1)*24-F469,2))</f>
        <v/>
      </c>
      <c r="H469" s="12"/>
      <c r="I469" s="13" t="str">
        <f>IF(H469&lt;&gt;"",H469,G469)</f>
        <v/>
      </c>
      <c r="J469" s="5"/>
      <c r="K469" s="6"/>
    </row>
    <row r="470" spans="1:11">
      <c r="A470" s="9"/>
      <c r="B470" s="10" t="str">
        <f>IF(A470="","",YEAR(A470)&amp;"/"&amp;RIGHT("0"&amp;MONTH(A470),2))</f>
        <v/>
      </c>
      <c r="C470" s="5"/>
      <c r="D470" s="11"/>
      <c r="E470" s="11"/>
      <c r="F470" s="12"/>
      <c r="G470" s="13" t="str">
        <f>IF(OR(D470="",E470=""),"",ROUND(MOD(E470-D470,1)*24-F470,2))</f>
        <v/>
      </c>
      <c r="H470" s="12"/>
      <c r="I470" s="13" t="str">
        <f>IF(H470&lt;&gt;"",H470,G470)</f>
        <v/>
      </c>
      <c r="J470" s="5"/>
      <c r="K470" s="6"/>
    </row>
    <row r="471" spans="1:11">
      <c r="A471" s="9"/>
      <c r="B471" s="10" t="str">
        <f>IF(A471="","",YEAR(A471)&amp;"/"&amp;RIGHT("0"&amp;MONTH(A471),2))</f>
        <v/>
      </c>
      <c r="C471" s="5"/>
      <c r="D471" s="11"/>
      <c r="E471" s="11"/>
      <c r="F471" s="12"/>
      <c r="G471" s="13" t="str">
        <f>IF(OR(D471="",E471=""),"",ROUND(MOD(E471-D471,1)*24-F471,2))</f>
        <v/>
      </c>
      <c r="H471" s="12"/>
      <c r="I471" s="13" t="str">
        <f>IF(H471&lt;&gt;"",H471,G471)</f>
        <v/>
      </c>
      <c r="J471" s="5"/>
      <c r="K471" s="6"/>
    </row>
    <row r="472" spans="1:11">
      <c r="A472" s="9"/>
      <c r="B472" s="10" t="str">
        <f>IF(A472="","",YEAR(A472)&amp;"/"&amp;RIGHT("0"&amp;MONTH(A472),2))</f>
        <v/>
      </c>
      <c r="C472" s="5"/>
      <c r="D472" s="11"/>
      <c r="E472" s="11"/>
      <c r="F472" s="12"/>
      <c r="G472" s="13" t="str">
        <f>IF(OR(D472="",E472=""),"",ROUND(MOD(E472-D472,1)*24-F472,2))</f>
        <v/>
      </c>
      <c r="H472" s="12"/>
      <c r="I472" s="13" t="str">
        <f>IF(H472&lt;&gt;"",H472,G472)</f>
        <v/>
      </c>
      <c r="J472" s="5"/>
      <c r="K472" s="6"/>
    </row>
    <row r="473" spans="1:11">
      <c r="A473" s="9"/>
      <c r="B473" s="10" t="str">
        <f>IF(A473="","",YEAR(A473)&amp;"/"&amp;RIGHT("0"&amp;MONTH(A473),2))</f>
        <v/>
      </c>
      <c r="C473" s="5"/>
      <c r="D473" s="11"/>
      <c r="E473" s="11"/>
      <c r="F473" s="12"/>
      <c r="G473" s="13" t="str">
        <f>IF(OR(D473="",E473=""),"",ROUND(MOD(E473-D473,1)*24-F473,2))</f>
        <v/>
      </c>
      <c r="H473" s="12"/>
      <c r="I473" s="13" t="str">
        <f>IF(H473&lt;&gt;"",H473,G473)</f>
        <v/>
      </c>
      <c r="J473" s="5"/>
      <c r="K473" s="6"/>
    </row>
    <row r="474" spans="1:11">
      <c r="A474" s="9"/>
      <c r="B474" s="10" t="str">
        <f>IF(A474="","",YEAR(A474)&amp;"/"&amp;RIGHT("0"&amp;MONTH(A474),2))</f>
        <v/>
      </c>
      <c r="C474" s="5"/>
      <c r="D474" s="11"/>
      <c r="E474" s="11"/>
      <c r="F474" s="12"/>
      <c r="G474" s="13" t="str">
        <f>IF(OR(D474="",E474=""),"",ROUND(MOD(E474-D474,1)*24-F474,2))</f>
        <v/>
      </c>
      <c r="H474" s="12"/>
      <c r="I474" s="13" t="str">
        <f>IF(H474&lt;&gt;"",H474,G474)</f>
        <v/>
      </c>
      <c r="J474" s="5"/>
      <c r="K474" s="6"/>
    </row>
    <row r="475" spans="1:11">
      <c r="A475" s="9"/>
      <c r="B475" s="10" t="str">
        <f>IF(A475="","",YEAR(A475)&amp;"/"&amp;RIGHT("0"&amp;MONTH(A475),2))</f>
        <v/>
      </c>
      <c r="C475" s="5"/>
      <c r="D475" s="11"/>
      <c r="E475" s="11"/>
      <c r="F475" s="12"/>
      <c r="G475" s="13" t="str">
        <f>IF(OR(D475="",E475=""),"",ROUND(MOD(E475-D475,1)*24-F475,2))</f>
        <v/>
      </c>
      <c r="H475" s="12"/>
      <c r="I475" s="13" t="str">
        <f>IF(H475&lt;&gt;"",H475,G475)</f>
        <v/>
      </c>
      <c r="J475" s="5"/>
      <c r="K475" s="6"/>
    </row>
    <row r="476" spans="1:11">
      <c r="A476" s="9"/>
      <c r="B476" s="10" t="str">
        <f>IF(A476="","",YEAR(A476)&amp;"/"&amp;RIGHT("0"&amp;MONTH(A476),2))</f>
        <v/>
      </c>
      <c r="C476" s="5"/>
      <c r="D476" s="11"/>
      <c r="E476" s="11"/>
      <c r="F476" s="12"/>
      <c r="G476" s="13" t="str">
        <f>IF(OR(D476="",E476=""),"",ROUND(MOD(E476-D476,1)*24-F476,2))</f>
        <v/>
      </c>
      <c r="H476" s="12"/>
      <c r="I476" s="13" t="str">
        <f>IF(H476&lt;&gt;"",H476,G476)</f>
        <v/>
      </c>
      <c r="J476" s="5"/>
      <c r="K476" s="6"/>
    </row>
    <row r="477" spans="1:11">
      <c r="A477" s="9"/>
      <c r="B477" s="10" t="str">
        <f>IF(A477="","",YEAR(A477)&amp;"/"&amp;RIGHT("0"&amp;MONTH(A477),2))</f>
        <v/>
      </c>
      <c r="C477" s="5"/>
      <c r="D477" s="11"/>
      <c r="E477" s="11"/>
      <c r="F477" s="12"/>
      <c r="G477" s="13" t="str">
        <f>IF(OR(D477="",E477=""),"",ROUND(MOD(E477-D477,1)*24-F477,2))</f>
        <v/>
      </c>
      <c r="H477" s="12"/>
      <c r="I477" s="13" t="str">
        <f>IF(H477&lt;&gt;"",H477,G477)</f>
        <v/>
      </c>
      <c r="J477" s="5"/>
      <c r="K477" s="6"/>
    </row>
    <row r="478" spans="1:11">
      <c r="A478" s="9"/>
      <c r="B478" s="10" t="str">
        <f>IF(A478="","",YEAR(A478)&amp;"/"&amp;RIGHT("0"&amp;MONTH(A478),2))</f>
        <v/>
      </c>
      <c r="C478" s="5"/>
      <c r="D478" s="11"/>
      <c r="E478" s="11"/>
      <c r="F478" s="12"/>
      <c r="G478" s="13" t="str">
        <f>IF(OR(D478="",E478=""),"",ROUND(MOD(E478-D478,1)*24-F478,2))</f>
        <v/>
      </c>
      <c r="H478" s="12"/>
      <c r="I478" s="13" t="str">
        <f>IF(H478&lt;&gt;"",H478,G478)</f>
        <v/>
      </c>
      <c r="J478" s="5"/>
      <c r="K478" s="6"/>
    </row>
    <row r="479" spans="1:11">
      <c r="A479" s="9"/>
      <c r="B479" s="10" t="str">
        <f>IF(A479="","",YEAR(A479)&amp;"/"&amp;RIGHT("0"&amp;MONTH(A479),2))</f>
        <v/>
      </c>
      <c r="C479" s="5"/>
      <c r="D479" s="11"/>
      <c r="E479" s="11"/>
      <c r="F479" s="12"/>
      <c r="G479" s="13" t="str">
        <f>IF(OR(D479="",E479=""),"",ROUND(MOD(E479-D479,1)*24-F479,2))</f>
        <v/>
      </c>
      <c r="H479" s="12"/>
      <c r="I479" s="13" t="str">
        <f>IF(H479&lt;&gt;"",H479,G479)</f>
        <v/>
      </c>
      <c r="J479" s="5"/>
      <c r="K479" s="6"/>
    </row>
    <row r="480" spans="1:11">
      <c r="A480" s="9"/>
      <c r="B480" s="10" t="str">
        <f>IF(A480="","",YEAR(A480)&amp;"/"&amp;RIGHT("0"&amp;MONTH(A480),2))</f>
        <v/>
      </c>
      <c r="C480" s="5"/>
      <c r="D480" s="11"/>
      <c r="E480" s="11"/>
      <c r="F480" s="12"/>
      <c r="G480" s="13" t="str">
        <f>IF(OR(D480="",E480=""),"",ROUND(MOD(E480-D480,1)*24-F480,2))</f>
        <v/>
      </c>
      <c r="H480" s="12"/>
      <c r="I480" s="13" t="str">
        <f>IF(H480&lt;&gt;"",H480,G480)</f>
        <v/>
      </c>
      <c r="J480" s="5"/>
      <c r="K480" s="6"/>
    </row>
    <row r="481" spans="1:11">
      <c r="A481" s="9"/>
      <c r="B481" s="10" t="str">
        <f>IF(A481="","",YEAR(A481)&amp;"/"&amp;RIGHT("0"&amp;MONTH(A481),2))</f>
        <v/>
      </c>
      <c r="C481" s="5"/>
      <c r="D481" s="11"/>
      <c r="E481" s="11"/>
      <c r="F481" s="12"/>
      <c r="G481" s="13" t="str">
        <f>IF(OR(D481="",E481=""),"",ROUND(MOD(E481-D481,1)*24-F481,2))</f>
        <v/>
      </c>
      <c r="H481" s="12"/>
      <c r="I481" s="13" t="str">
        <f>IF(H481&lt;&gt;"",H481,G481)</f>
        <v/>
      </c>
      <c r="J481" s="5"/>
      <c r="K481" s="6"/>
    </row>
    <row r="482" spans="1:11">
      <c r="A482" s="9"/>
      <c r="B482" s="10" t="str">
        <f>IF(A482="","",YEAR(A482)&amp;"/"&amp;RIGHT("0"&amp;MONTH(A482),2))</f>
        <v/>
      </c>
      <c r="C482" s="5"/>
      <c r="D482" s="11"/>
      <c r="E482" s="11"/>
      <c r="F482" s="12"/>
      <c r="G482" s="13" t="str">
        <f>IF(OR(D482="",E482=""),"",ROUND(MOD(E482-D482,1)*24-F482,2))</f>
        <v/>
      </c>
      <c r="H482" s="12"/>
      <c r="I482" s="13" t="str">
        <f>IF(H482&lt;&gt;"",H482,G482)</f>
        <v/>
      </c>
      <c r="J482" s="5"/>
      <c r="K482" s="6"/>
    </row>
    <row r="483" spans="1:11">
      <c r="A483" s="9"/>
      <c r="B483" s="10" t="str">
        <f>IF(A483="","",YEAR(A483)&amp;"/"&amp;RIGHT("0"&amp;MONTH(A483),2))</f>
        <v/>
      </c>
      <c r="C483" s="5"/>
      <c r="D483" s="11"/>
      <c r="E483" s="11"/>
      <c r="F483" s="12"/>
      <c r="G483" s="13" t="str">
        <f>IF(OR(D483="",E483=""),"",ROUND(MOD(E483-D483,1)*24-F483,2))</f>
        <v/>
      </c>
      <c r="H483" s="12"/>
      <c r="I483" s="13" t="str">
        <f>IF(H483&lt;&gt;"",H483,G483)</f>
        <v/>
      </c>
      <c r="J483" s="5"/>
      <c r="K483" s="6"/>
    </row>
    <row r="484" spans="1:11">
      <c r="A484" s="9"/>
      <c r="B484" s="10" t="str">
        <f>IF(A484="","",YEAR(A484)&amp;"/"&amp;RIGHT("0"&amp;MONTH(A484),2))</f>
        <v/>
      </c>
      <c r="C484" s="5"/>
      <c r="D484" s="11"/>
      <c r="E484" s="11"/>
      <c r="F484" s="12"/>
      <c r="G484" s="13" t="str">
        <f>IF(OR(D484="",E484=""),"",ROUND(MOD(E484-D484,1)*24-F484,2))</f>
        <v/>
      </c>
      <c r="H484" s="12"/>
      <c r="I484" s="13" t="str">
        <f>IF(H484&lt;&gt;"",H484,G484)</f>
        <v/>
      </c>
      <c r="J484" s="5"/>
      <c r="K484" s="6"/>
    </row>
    <row r="485" spans="1:11">
      <c r="A485" s="9"/>
      <c r="B485" s="10" t="str">
        <f>IF(A485="","",YEAR(A485)&amp;"/"&amp;RIGHT("0"&amp;MONTH(A485),2))</f>
        <v/>
      </c>
      <c r="C485" s="5"/>
      <c r="D485" s="11"/>
      <c r="E485" s="11"/>
      <c r="F485" s="12"/>
      <c r="G485" s="13" t="str">
        <f>IF(OR(D485="",E485=""),"",ROUND(MOD(E485-D485,1)*24-F485,2))</f>
        <v/>
      </c>
      <c r="H485" s="12"/>
      <c r="I485" s="13" t="str">
        <f>IF(H485&lt;&gt;"",H485,G485)</f>
        <v/>
      </c>
      <c r="J485" s="5"/>
      <c r="K485" s="6"/>
    </row>
    <row r="486" spans="1:11">
      <c r="A486" s="9"/>
      <c r="B486" s="10" t="str">
        <f>IF(A486="","",YEAR(A486)&amp;"/"&amp;RIGHT("0"&amp;MONTH(A486),2))</f>
        <v/>
      </c>
      <c r="C486" s="5"/>
      <c r="D486" s="11"/>
      <c r="E486" s="11"/>
      <c r="F486" s="12"/>
      <c r="G486" s="13" t="str">
        <f>IF(OR(D486="",E486=""),"",ROUND(MOD(E486-D486,1)*24-F486,2))</f>
        <v/>
      </c>
      <c r="H486" s="12"/>
      <c r="I486" s="13" t="str">
        <f>IF(H486&lt;&gt;"",H486,G486)</f>
        <v/>
      </c>
      <c r="J486" s="5"/>
      <c r="K486" s="6"/>
    </row>
    <row r="487" spans="1:11">
      <c r="A487" s="9"/>
      <c r="B487" s="10" t="str">
        <f>IF(A487="","",YEAR(A487)&amp;"/"&amp;RIGHT("0"&amp;MONTH(A487),2))</f>
        <v/>
      </c>
      <c r="C487" s="5"/>
      <c r="D487" s="11"/>
      <c r="E487" s="11"/>
      <c r="F487" s="12"/>
      <c r="G487" s="13" t="str">
        <f>IF(OR(D487="",E487=""),"",ROUND(MOD(E487-D487,1)*24-F487,2))</f>
        <v/>
      </c>
      <c r="H487" s="12"/>
      <c r="I487" s="13" t="str">
        <f>IF(H487&lt;&gt;"",H487,G487)</f>
        <v/>
      </c>
      <c r="J487" s="5"/>
      <c r="K487" s="6"/>
    </row>
    <row r="488" spans="1:11">
      <c r="A488" s="9"/>
      <c r="B488" s="10" t="str">
        <f>IF(A488="","",YEAR(A488)&amp;"/"&amp;RIGHT("0"&amp;MONTH(A488),2))</f>
        <v/>
      </c>
      <c r="C488" s="5"/>
      <c r="D488" s="11"/>
      <c r="E488" s="11"/>
      <c r="F488" s="12"/>
      <c r="G488" s="13" t="str">
        <f>IF(OR(D488="",E488=""),"",ROUND(MOD(E488-D488,1)*24-F488,2))</f>
        <v/>
      </c>
      <c r="H488" s="12"/>
      <c r="I488" s="13" t="str">
        <f>IF(H488&lt;&gt;"",H488,G488)</f>
        <v/>
      </c>
      <c r="J488" s="5"/>
      <c r="K488" s="6"/>
    </row>
    <row r="489" spans="1:11">
      <c r="A489" s="9"/>
      <c r="B489" s="10" t="str">
        <f>IF(A489="","",YEAR(A489)&amp;"/"&amp;RIGHT("0"&amp;MONTH(A489),2))</f>
        <v/>
      </c>
      <c r="C489" s="5"/>
      <c r="D489" s="11"/>
      <c r="E489" s="11"/>
      <c r="F489" s="12"/>
      <c r="G489" s="13" t="str">
        <f>IF(OR(D489="",E489=""),"",ROUND(MOD(E489-D489,1)*24-F489,2))</f>
        <v/>
      </c>
      <c r="H489" s="12"/>
      <c r="I489" s="13" t="str">
        <f>IF(H489&lt;&gt;"",H489,G489)</f>
        <v/>
      </c>
      <c r="J489" s="5"/>
      <c r="K489" s="6"/>
    </row>
    <row r="490" spans="1:11">
      <c r="A490" s="9"/>
      <c r="B490" s="10" t="str">
        <f>IF(A490="","",YEAR(A490)&amp;"/"&amp;RIGHT("0"&amp;MONTH(A490),2))</f>
        <v/>
      </c>
      <c r="C490" s="5"/>
      <c r="D490" s="11"/>
      <c r="E490" s="11"/>
      <c r="F490" s="12"/>
      <c r="G490" s="13" t="str">
        <f>IF(OR(D490="",E490=""),"",ROUND(MOD(E490-D490,1)*24-F490,2))</f>
        <v/>
      </c>
      <c r="H490" s="12"/>
      <c r="I490" s="13" t="str">
        <f>IF(H490&lt;&gt;"",H490,G490)</f>
        <v/>
      </c>
      <c r="J490" s="5"/>
      <c r="K490" s="6"/>
    </row>
    <row r="491" spans="1:11">
      <c r="A491" s="9"/>
      <c r="B491" s="10" t="str">
        <f>IF(A491="","",YEAR(A491)&amp;"/"&amp;RIGHT("0"&amp;MONTH(A491),2))</f>
        <v/>
      </c>
      <c r="C491" s="5"/>
      <c r="D491" s="11"/>
      <c r="E491" s="11"/>
      <c r="F491" s="12"/>
      <c r="G491" s="13" t="str">
        <f>IF(OR(D491="",E491=""),"",ROUND(MOD(E491-D491,1)*24-F491,2))</f>
        <v/>
      </c>
      <c r="H491" s="12"/>
      <c r="I491" s="13" t="str">
        <f>IF(H491&lt;&gt;"",H491,G491)</f>
        <v/>
      </c>
      <c r="J491" s="5"/>
      <c r="K491" s="6"/>
    </row>
    <row r="492" spans="1:11">
      <c r="A492" s="9"/>
      <c r="B492" s="10" t="str">
        <f>IF(A492="","",YEAR(A492)&amp;"/"&amp;RIGHT("0"&amp;MONTH(A492),2))</f>
        <v/>
      </c>
      <c r="C492" s="5"/>
      <c r="D492" s="11"/>
      <c r="E492" s="11"/>
      <c r="F492" s="12"/>
      <c r="G492" s="13" t="str">
        <f>IF(OR(D492="",E492=""),"",ROUND(MOD(E492-D492,1)*24-F492,2))</f>
        <v/>
      </c>
      <c r="H492" s="12"/>
      <c r="I492" s="13" t="str">
        <f>IF(H492&lt;&gt;"",H492,G492)</f>
        <v/>
      </c>
      <c r="J492" s="5"/>
      <c r="K492" s="6"/>
    </row>
    <row r="493" spans="1:11">
      <c r="A493" s="9"/>
      <c r="B493" s="10" t="str">
        <f>IF(A493="","",YEAR(A493)&amp;"/"&amp;RIGHT("0"&amp;MONTH(A493),2))</f>
        <v/>
      </c>
      <c r="C493" s="5"/>
      <c r="D493" s="11"/>
      <c r="E493" s="11"/>
      <c r="F493" s="12"/>
      <c r="G493" s="13" t="str">
        <f>IF(OR(D493="",E493=""),"",ROUND(MOD(E493-D493,1)*24-F493,2))</f>
        <v/>
      </c>
      <c r="H493" s="12"/>
      <c r="I493" s="13" t="str">
        <f>IF(H493&lt;&gt;"",H493,G493)</f>
        <v/>
      </c>
      <c r="J493" s="5"/>
      <c r="K493" s="6"/>
    </row>
    <row r="494" spans="1:11">
      <c r="A494" s="9"/>
      <c r="B494" s="10" t="str">
        <f>IF(A494="","",YEAR(A494)&amp;"/"&amp;RIGHT("0"&amp;MONTH(A494),2))</f>
        <v/>
      </c>
      <c r="C494" s="5"/>
      <c r="D494" s="11"/>
      <c r="E494" s="11"/>
      <c r="F494" s="12"/>
      <c r="G494" s="13" t="str">
        <f>IF(OR(D494="",E494=""),"",ROUND(MOD(E494-D494,1)*24-F494,2))</f>
        <v/>
      </c>
      <c r="H494" s="12"/>
      <c r="I494" s="13" t="str">
        <f>IF(H494&lt;&gt;"",H494,G494)</f>
        <v/>
      </c>
      <c r="J494" s="5"/>
      <c r="K494" s="6"/>
    </row>
    <row r="495" spans="1:11">
      <c r="A495" s="9"/>
      <c r="B495" s="10" t="str">
        <f>IF(A495="","",YEAR(A495)&amp;"/"&amp;RIGHT("0"&amp;MONTH(A495),2))</f>
        <v/>
      </c>
      <c r="C495" s="5"/>
      <c r="D495" s="11"/>
      <c r="E495" s="11"/>
      <c r="F495" s="12"/>
      <c r="G495" s="13" t="str">
        <f>IF(OR(D495="",E495=""),"",ROUND(MOD(E495-D495,1)*24-F495,2))</f>
        <v/>
      </c>
      <c r="H495" s="12"/>
      <c r="I495" s="13" t="str">
        <f>IF(H495&lt;&gt;"",H495,G495)</f>
        <v/>
      </c>
      <c r="J495" s="5"/>
      <c r="K495" s="6"/>
    </row>
    <row r="496" spans="1:11">
      <c r="A496" s="9"/>
      <c r="B496" s="10" t="str">
        <f>IF(A496="","",YEAR(A496)&amp;"/"&amp;RIGHT("0"&amp;MONTH(A496),2))</f>
        <v/>
      </c>
      <c r="C496" s="5"/>
      <c r="D496" s="11"/>
      <c r="E496" s="11"/>
      <c r="F496" s="12"/>
      <c r="G496" s="13" t="str">
        <f>IF(OR(D496="",E496=""),"",ROUND(MOD(E496-D496,1)*24-F496,2))</f>
        <v/>
      </c>
      <c r="H496" s="12"/>
      <c r="I496" s="13" t="str">
        <f>IF(H496&lt;&gt;"",H496,G496)</f>
        <v/>
      </c>
      <c r="J496" s="5"/>
      <c r="K496" s="6"/>
    </row>
    <row r="497" spans="1:11">
      <c r="A497" s="9"/>
      <c r="B497" s="10" t="str">
        <f>IF(A497="","",YEAR(A497)&amp;"/"&amp;RIGHT("0"&amp;MONTH(A497),2))</f>
        <v/>
      </c>
      <c r="C497" s="5"/>
      <c r="D497" s="11"/>
      <c r="E497" s="11"/>
      <c r="F497" s="12"/>
      <c r="G497" s="13" t="str">
        <f>IF(OR(D497="",E497=""),"",ROUND(MOD(E497-D497,1)*24-F497,2))</f>
        <v/>
      </c>
      <c r="H497" s="12"/>
      <c r="I497" s="13" t="str">
        <f>IF(H497&lt;&gt;"",H497,G497)</f>
        <v/>
      </c>
      <c r="J497" s="5"/>
      <c r="K497" s="6"/>
    </row>
    <row r="498" spans="1:11">
      <c r="A498" s="9"/>
      <c r="B498" s="10" t="str">
        <f>IF(A498="","",YEAR(A498)&amp;"/"&amp;RIGHT("0"&amp;MONTH(A498),2))</f>
        <v/>
      </c>
      <c r="C498" s="5"/>
      <c r="D498" s="11"/>
      <c r="E498" s="11"/>
      <c r="F498" s="12"/>
      <c r="G498" s="13" t="str">
        <f>IF(OR(D498="",E498=""),"",ROUND(MOD(E498-D498,1)*24-F498,2))</f>
        <v/>
      </c>
      <c r="H498" s="12"/>
      <c r="I498" s="13" t="str">
        <f>IF(H498&lt;&gt;"",H498,G498)</f>
        <v/>
      </c>
      <c r="J498" s="5"/>
      <c r="K498" s="6"/>
    </row>
    <row r="499" spans="1:11">
      <c r="A499" s="9"/>
      <c r="B499" s="10" t="str">
        <f>IF(A499="","",YEAR(A499)&amp;"/"&amp;RIGHT("0"&amp;MONTH(A499),2))</f>
        <v/>
      </c>
      <c r="C499" s="5"/>
      <c r="D499" s="11"/>
      <c r="E499" s="11"/>
      <c r="F499" s="12"/>
      <c r="G499" s="13" t="str">
        <f>IF(OR(D499="",E499=""),"",ROUND(MOD(E499-D499,1)*24-F499,2))</f>
        <v/>
      </c>
      <c r="H499" s="12"/>
      <c r="I499" s="13" t="str">
        <f>IF(H499&lt;&gt;"",H499,G499)</f>
        <v/>
      </c>
      <c r="J499" s="5"/>
      <c r="K499" s="6"/>
    </row>
    <row r="500" spans="1:11">
      <c r="A500" s="9"/>
      <c r="B500" s="10" t="str">
        <f>IF(A500="","",YEAR(A500)&amp;"/"&amp;RIGHT("0"&amp;MONTH(A500),2))</f>
        <v/>
      </c>
      <c r="C500" s="5"/>
      <c r="D500" s="11"/>
      <c r="E500" s="11"/>
      <c r="F500" s="12"/>
      <c r="G500" s="13" t="str">
        <f>IF(OR(D500="",E500=""),"",ROUND(MOD(E500-D500,1)*24-F500,2))</f>
        <v/>
      </c>
      <c r="H500" s="12"/>
      <c r="I500" s="13" t="str">
        <f>IF(H500&lt;&gt;"",H500,G500)</f>
        <v/>
      </c>
      <c r="J500" s="5"/>
      <c r="K500" s="6"/>
    </row>
  </sheetData>
  <autoFilter ref="A1:K500" xr:uid="{00000000-0001-0000-0300-000000000000}">
    <sortState xmlns:xlrd2="http://schemas.microsoft.com/office/spreadsheetml/2017/richdata2" ref="A2:K500">
      <sortCondition ref="A2:A500"/>
    </sortState>
  </autoFilter>
  <phoneticPr fontId="11" type="noConversion"/>
  <dataValidations count="1">
    <dataValidation type="list" allowBlank="1" sqref="C2:C500" xr:uid="{00000000-0002-0000-0300-000000000000}">
      <formula1>EmployeeNames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00"/>
  <sheetViews>
    <sheetView workbookViewId="0">
      <pane ySplit="1" topLeftCell="A5" activePane="bottomLeft" state="frozen"/>
      <selection pane="bottomLeft" activeCell="E19" sqref="E19"/>
    </sheetView>
  </sheetViews>
  <sheetFormatPr defaultRowHeight="15"/>
  <cols>
    <col min="1" max="1" width="12" customWidth="1"/>
    <col min="2" max="2" width="10" customWidth="1"/>
    <col min="3" max="3" width="16" customWidth="1"/>
    <col min="4" max="4" width="20" customWidth="1"/>
    <col min="5" max="5" width="28" customWidth="1"/>
    <col min="6" max="6" width="24" customWidth="1"/>
    <col min="7" max="7" width="10" customWidth="1"/>
    <col min="8" max="8" width="8" customWidth="1"/>
    <col min="9" max="9" width="12" customWidth="1"/>
    <col min="10" max="10" width="18" customWidth="1"/>
  </cols>
  <sheetData>
    <row r="1" spans="1:10">
      <c r="A1" s="4" t="s">
        <v>108</v>
      </c>
      <c r="B1" s="4" t="s">
        <v>109</v>
      </c>
      <c r="C1" s="4" t="s">
        <v>97</v>
      </c>
      <c r="D1" s="4" t="s">
        <v>121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</row>
    <row r="2" spans="1:10">
      <c r="A2" s="9">
        <v>46054</v>
      </c>
      <c r="B2" s="10" t="str">
        <f t="shared" ref="B2:B65" si="0">IF(A2="","",YEAR(A2)&amp;"/"&amp;RIGHT("0"&amp;MONTH(A2),2))</f>
        <v>2026/02</v>
      </c>
      <c r="C2" s="5" t="s">
        <v>178</v>
      </c>
      <c r="D2" s="5" t="s">
        <v>128</v>
      </c>
      <c r="E2" s="5" t="s">
        <v>129</v>
      </c>
      <c r="F2" s="5" t="s">
        <v>130</v>
      </c>
      <c r="G2" s="6">
        <v>459</v>
      </c>
      <c r="H2" s="5">
        <v>1</v>
      </c>
      <c r="I2" s="14">
        <f t="shared" ref="I2:I65" si="1">IF(OR(G2="",H2=""),"",G2*H2)</f>
        <v>459</v>
      </c>
      <c r="J2" s="5"/>
    </row>
    <row r="3" spans="1:10">
      <c r="A3" s="9">
        <v>46054</v>
      </c>
      <c r="B3" s="10" t="str">
        <f t="shared" si="0"/>
        <v>2026/02</v>
      </c>
      <c r="C3" s="5" t="s">
        <v>178</v>
      </c>
      <c r="D3" s="5" t="s">
        <v>131</v>
      </c>
      <c r="E3" s="5" t="s">
        <v>129</v>
      </c>
      <c r="F3" s="5" t="s">
        <v>132</v>
      </c>
      <c r="G3" s="6">
        <v>459</v>
      </c>
      <c r="H3" s="5">
        <v>1</v>
      </c>
      <c r="I3" s="14">
        <f t="shared" si="1"/>
        <v>459</v>
      </c>
      <c r="J3" s="5"/>
    </row>
    <row r="4" spans="1:10">
      <c r="A4" s="9">
        <v>46054</v>
      </c>
      <c r="B4" s="10" t="str">
        <f t="shared" si="0"/>
        <v>2026/02</v>
      </c>
      <c r="C4" s="5" t="s">
        <v>178</v>
      </c>
      <c r="D4" s="5" t="s">
        <v>133</v>
      </c>
      <c r="E4" s="5" t="s">
        <v>134</v>
      </c>
      <c r="F4" s="5" t="s">
        <v>135</v>
      </c>
      <c r="G4" s="6">
        <v>99</v>
      </c>
      <c r="H4" s="5">
        <v>1</v>
      </c>
      <c r="I4" s="14">
        <f t="shared" si="1"/>
        <v>99</v>
      </c>
      <c r="J4" s="5"/>
    </row>
    <row r="5" spans="1:10">
      <c r="A5" s="9">
        <v>46054</v>
      </c>
      <c r="B5" s="10" t="str">
        <f t="shared" si="0"/>
        <v>2026/02</v>
      </c>
      <c r="C5" s="5" t="s">
        <v>178</v>
      </c>
      <c r="D5" s="5" t="s">
        <v>136</v>
      </c>
      <c r="E5" s="5" t="s">
        <v>137</v>
      </c>
      <c r="F5" s="5" t="s">
        <v>138</v>
      </c>
      <c r="G5" s="6">
        <v>299</v>
      </c>
      <c r="H5" s="5">
        <v>1</v>
      </c>
      <c r="I5" s="14">
        <f t="shared" si="1"/>
        <v>299</v>
      </c>
      <c r="J5" s="5"/>
    </row>
    <row r="6" spans="1:10">
      <c r="A6" s="9">
        <v>46054</v>
      </c>
      <c r="B6" s="10" t="str">
        <f t="shared" si="0"/>
        <v>2026/02</v>
      </c>
      <c r="C6" s="5" t="s">
        <v>178</v>
      </c>
      <c r="D6" s="5" t="s">
        <v>139</v>
      </c>
      <c r="E6" s="5" t="s">
        <v>140</v>
      </c>
      <c r="F6" s="5" t="s">
        <v>141</v>
      </c>
      <c r="G6" s="6">
        <v>75</v>
      </c>
      <c r="H6" s="5">
        <v>4</v>
      </c>
      <c r="I6" s="14">
        <f t="shared" si="1"/>
        <v>300</v>
      </c>
      <c r="J6" s="5"/>
    </row>
    <row r="7" spans="1:10">
      <c r="A7" s="9">
        <v>46054</v>
      </c>
      <c r="B7" s="10" t="str">
        <f t="shared" si="0"/>
        <v>2026/02</v>
      </c>
      <c r="C7" s="5" t="s">
        <v>178</v>
      </c>
      <c r="D7" s="5" t="s">
        <v>142</v>
      </c>
      <c r="E7" s="5" t="s">
        <v>140</v>
      </c>
      <c r="F7" s="5" t="s">
        <v>143</v>
      </c>
      <c r="G7" s="6">
        <v>75</v>
      </c>
      <c r="H7" s="5">
        <v>2</v>
      </c>
      <c r="I7" s="14">
        <f t="shared" si="1"/>
        <v>150</v>
      </c>
      <c r="J7" s="5"/>
    </row>
    <row r="8" spans="1:10">
      <c r="A8" s="9">
        <v>46054</v>
      </c>
      <c r="B8" s="10" t="str">
        <f t="shared" si="0"/>
        <v>2026/02</v>
      </c>
      <c r="C8" s="5" t="s">
        <v>178</v>
      </c>
      <c r="D8" s="5" t="s">
        <v>144</v>
      </c>
      <c r="E8" s="5" t="s">
        <v>140</v>
      </c>
      <c r="F8" s="5" t="s">
        <v>145</v>
      </c>
      <c r="G8" s="6">
        <v>75</v>
      </c>
      <c r="H8" s="5">
        <v>2</v>
      </c>
      <c r="I8" s="14">
        <f t="shared" si="1"/>
        <v>150</v>
      </c>
      <c r="J8" s="5"/>
    </row>
    <row r="9" spans="1:10">
      <c r="A9" s="9">
        <v>46054</v>
      </c>
      <c r="B9" s="10" t="str">
        <f t="shared" si="0"/>
        <v>2026/02</v>
      </c>
      <c r="C9" s="5" t="s">
        <v>178</v>
      </c>
      <c r="D9" s="5" t="s">
        <v>146</v>
      </c>
      <c r="E9" s="5" t="s">
        <v>140</v>
      </c>
      <c r="F9" s="5" t="s">
        <v>147</v>
      </c>
      <c r="G9" s="6">
        <v>75</v>
      </c>
      <c r="H9" s="5">
        <v>4</v>
      </c>
      <c r="I9" s="14">
        <f t="shared" si="1"/>
        <v>300</v>
      </c>
      <c r="J9" s="5"/>
    </row>
    <row r="10" spans="1:10">
      <c r="A10" s="9">
        <v>46054</v>
      </c>
      <c r="B10" s="10" t="str">
        <f t="shared" si="0"/>
        <v>2026/02</v>
      </c>
      <c r="C10" s="5" t="s">
        <v>178</v>
      </c>
      <c r="D10" s="5" t="s">
        <v>148</v>
      </c>
      <c r="E10" s="5" t="s">
        <v>140</v>
      </c>
      <c r="F10" s="5" t="s">
        <v>149</v>
      </c>
      <c r="G10" s="6">
        <v>75</v>
      </c>
      <c r="H10" s="5">
        <v>2</v>
      </c>
      <c r="I10" s="14">
        <f t="shared" si="1"/>
        <v>150</v>
      </c>
      <c r="J10" s="5"/>
    </row>
    <row r="11" spans="1:10">
      <c r="A11" s="9">
        <v>46054</v>
      </c>
      <c r="B11" s="10" t="str">
        <f t="shared" si="0"/>
        <v>2026/02</v>
      </c>
      <c r="C11" s="5" t="s">
        <v>178</v>
      </c>
      <c r="D11" s="5" t="s">
        <v>150</v>
      </c>
      <c r="E11" s="5" t="s">
        <v>151</v>
      </c>
      <c r="F11" s="5" t="s">
        <v>152</v>
      </c>
      <c r="G11" s="6">
        <v>379</v>
      </c>
      <c r="H11" s="5">
        <v>1</v>
      </c>
      <c r="I11" s="14">
        <f t="shared" si="1"/>
        <v>379</v>
      </c>
      <c r="J11" s="5"/>
    </row>
    <row r="12" spans="1:10">
      <c r="A12" s="9">
        <v>46054</v>
      </c>
      <c r="B12" s="10" t="str">
        <f t="shared" si="0"/>
        <v>2026/02</v>
      </c>
      <c r="C12" s="5" t="s">
        <v>178</v>
      </c>
      <c r="D12" s="5" t="s">
        <v>153</v>
      </c>
      <c r="E12" s="5" t="s">
        <v>151</v>
      </c>
      <c r="F12" s="5" t="s">
        <v>154</v>
      </c>
      <c r="G12" s="6">
        <v>379</v>
      </c>
      <c r="H12" s="5">
        <v>1</v>
      </c>
      <c r="I12" s="14">
        <f t="shared" si="1"/>
        <v>379</v>
      </c>
      <c r="J12" s="5"/>
    </row>
    <row r="13" spans="1:10">
      <c r="A13" s="9">
        <v>46054</v>
      </c>
      <c r="B13" s="10" t="str">
        <f t="shared" si="0"/>
        <v>2026/02</v>
      </c>
      <c r="C13" s="5" t="s">
        <v>178</v>
      </c>
      <c r="D13" s="5" t="s">
        <v>155</v>
      </c>
      <c r="E13" s="5" t="s">
        <v>151</v>
      </c>
      <c r="F13" s="5" t="s">
        <v>156</v>
      </c>
      <c r="G13" s="6">
        <v>379</v>
      </c>
      <c r="H13" s="5">
        <v>1</v>
      </c>
      <c r="I13" s="14">
        <f t="shared" si="1"/>
        <v>379</v>
      </c>
      <c r="J13" s="5"/>
    </row>
    <row r="14" spans="1:10">
      <c r="A14" s="9">
        <v>46054</v>
      </c>
      <c r="B14" s="10" t="str">
        <f t="shared" si="0"/>
        <v>2026/02</v>
      </c>
      <c r="C14" s="5" t="s">
        <v>105</v>
      </c>
      <c r="D14" s="5" t="s">
        <v>157</v>
      </c>
      <c r="E14" s="5" t="s">
        <v>158</v>
      </c>
      <c r="F14" s="5" t="s">
        <v>159</v>
      </c>
      <c r="G14" s="6">
        <v>75</v>
      </c>
      <c r="H14" s="5">
        <v>2</v>
      </c>
      <c r="I14" s="14">
        <f t="shared" si="1"/>
        <v>150</v>
      </c>
      <c r="J14" s="5"/>
    </row>
    <row r="15" spans="1:10">
      <c r="A15" s="9">
        <v>46054</v>
      </c>
      <c r="B15" s="10" t="str">
        <f t="shared" si="0"/>
        <v>2026/02</v>
      </c>
      <c r="C15" s="5" t="s">
        <v>105</v>
      </c>
      <c r="D15" s="5" t="s">
        <v>160</v>
      </c>
      <c r="E15" s="5" t="s">
        <v>158</v>
      </c>
      <c r="F15" s="5" t="s">
        <v>161</v>
      </c>
      <c r="G15" s="6">
        <v>75</v>
      </c>
      <c r="H15" s="5">
        <v>1</v>
      </c>
      <c r="I15" s="14">
        <f t="shared" si="1"/>
        <v>75</v>
      </c>
      <c r="J15" s="5"/>
    </row>
    <row r="16" spans="1:10">
      <c r="A16" s="9">
        <v>46054</v>
      </c>
      <c r="B16" s="10" t="str">
        <f t="shared" si="0"/>
        <v>2026/02</v>
      </c>
      <c r="C16" s="5" t="s">
        <v>105</v>
      </c>
      <c r="D16" s="5" t="s">
        <v>162</v>
      </c>
      <c r="E16" s="5" t="s">
        <v>163</v>
      </c>
      <c r="F16" s="5" t="s">
        <v>164</v>
      </c>
      <c r="G16" s="6">
        <v>69</v>
      </c>
      <c r="H16" s="5">
        <v>3</v>
      </c>
      <c r="I16" s="14">
        <f t="shared" si="1"/>
        <v>207</v>
      </c>
      <c r="J16" s="5"/>
    </row>
    <row r="17" spans="1:10">
      <c r="A17" s="9">
        <v>46054</v>
      </c>
      <c r="B17" s="10" t="str">
        <f t="shared" si="0"/>
        <v>2026/02</v>
      </c>
      <c r="C17" s="5" t="s">
        <v>105</v>
      </c>
      <c r="D17" s="5" t="s">
        <v>165</v>
      </c>
      <c r="E17" s="5" t="s">
        <v>166</v>
      </c>
      <c r="F17" s="5" t="s">
        <v>167</v>
      </c>
      <c r="G17" s="6">
        <v>79</v>
      </c>
      <c r="H17" s="5">
        <v>2</v>
      </c>
      <c r="I17" s="14">
        <f t="shared" si="1"/>
        <v>158</v>
      </c>
      <c r="J17" s="5"/>
    </row>
    <row r="18" spans="1:10">
      <c r="A18" s="9">
        <v>46042</v>
      </c>
      <c r="B18" s="10" t="str">
        <f t="shared" si="0"/>
        <v>2026/01</v>
      </c>
      <c r="C18" s="5" t="s">
        <v>178</v>
      </c>
      <c r="D18" s="5" t="s">
        <v>183</v>
      </c>
      <c r="E18" s="5" t="s">
        <v>184</v>
      </c>
      <c r="F18" s="5" t="s">
        <v>185</v>
      </c>
      <c r="G18" s="6">
        <v>599</v>
      </c>
      <c r="H18" s="5">
        <v>1</v>
      </c>
      <c r="I18" s="14">
        <f t="shared" si="1"/>
        <v>599</v>
      </c>
      <c r="J18" s="5"/>
    </row>
    <row r="19" spans="1:10">
      <c r="A19" s="9">
        <v>46050</v>
      </c>
      <c r="B19" s="10" t="str">
        <f t="shared" si="0"/>
        <v>2026/01</v>
      </c>
      <c r="C19" s="5" t="s">
        <v>178</v>
      </c>
      <c r="D19" s="5" t="s">
        <v>150</v>
      </c>
      <c r="E19" s="5" t="s">
        <v>151</v>
      </c>
      <c r="F19" s="5" t="s">
        <v>152</v>
      </c>
      <c r="G19" s="6">
        <v>379</v>
      </c>
      <c r="H19" s="5">
        <v>2</v>
      </c>
      <c r="I19" s="14">
        <f t="shared" si="1"/>
        <v>758</v>
      </c>
      <c r="J19" s="5"/>
    </row>
    <row r="20" spans="1:10">
      <c r="A20" s="9">
        <v>46050</v>
      </c>
      <c r="B20" s="10" t="str">
        <f t="shared" si="0"/>
        <v>2026/01</v>
      </c>
      <c r="C20" s="5" t="s">
        <v>178</v>
      </c>
      <c r="D20" s="5" t="s">
        <v>136</v>
      </c>
      <c r="E20" s="5" t="s">
        <v>137</v>
      </c>
      <c r="F20" s="5" t="s">
        <v>138</v>
      </c>
      <c r="G20" s="6">
        <v>299</v>
      </c>
      <c r="H20" s="5">
        <v>1</v>
      </c>
      <c r="I20" s="14">
        <f t="shared" si="1"/>
        <v>299</v>
      </c>
      <c r="J20" s="5"/>
    </row>
    <row r="21" spans="1:10">
      <c r="A21" s="9">
        <v>46050</v>
      </c>
      <c r="B21" s="10" t="str">
        <f t="shared" si="0"/>
        <v>2026/01</v>
      </c>
      <c r="C21" s="5" t="s">
        <v>178</v>
      </c>
      <c r="D21" s="5" t="s">
        <v>186</v>
      </c>
      <c r="E21" s="5" t="s">
        <v>137</v>
      </c>
      <c r="F21" s="5" t="s">
        <v>187</v>
      </c>
      <c r="G21" s="6">
        <v>299</v>
      </c>
      <c r="H21" s="5">
        <v>1</v>
      </c>
      <c r="I21" s="14">
        <f t="shared" si="1"/>
        <v>299</v>
      </c>
      <c r="J21" s="5"/>
    </row>
    <row r="22" spans="1:10">
      <c r="A22" s="9">
        <v>46050</v>
      </c>
      <c r="B22" s="10" t="str">
        <f t="shared" si="0"/>
        <v>2026/01</v>
      </c>
      <c r="C22" s="5" t="s">
        <v>178</v>
      </c>
      <c r="D22" s="5" t="s">
        <v>188</v>
      </c>
      <c r="E22" s="5" t="s">
        <v>137</v>
      </c>
      <c r="F22" s="5" t="s">
        <v>189</v>
      </c>
      <c r="G22" s="6">
        <v>299</v>
      </c>
      <c r="H22" s="5">
        <v>1</v>
      </c>
      <c r="I22" s="14">
        <f t="shared" si="1"/>
        <v>299</v>
      </c>
      <c r="J22" s="5"/>
    </row>
    <row r="23" spans="1:10">
      <c r="A23" s="9">
        <v>46050</v>
      </c>
      <c r="B23" s="10" t="str">
        <f t="shared" si="0"/>
        <v>2026/01</v>
      </c>
      <c r="C23" s="5" t="s">
        <v>178</v>
      </c>
      <c r="D23" s="5" t="s">
        <v>190</v>
      </c>
      <c r="E23" s="5" t="s">
        <v>129</v>
      </c>
      <c r="F23" s="5" t="s">
        <v>191</v>
      </c>
      <c r="G23" s="6">
        <v>399</v>
      </c>
      <c r="H23" s="5">
        <v>1</v>
      </c>
      <c r="I23" s="14">
        <f t="shared" si="1"/>
        <v>399</v>
      </c>
      <c r="J23" s="5"/>
    </row>
    <row r="24" spans="1:10">
      <c r="A24" s="9">
        <v>46050</v>
      </c>
      <c r="B24" s="10" t="str">
        <f t="shared" si="0"/>
        <v>2026/01</v>
      </c>
      <c r="C24" s="5" t="s">
        <v>178</v>
      </c>
      <c r="D24" s="5" t="s">
        <v>192</v>
      </c>
      <c r="E24" s="5" t="s">
        <v>129</v>
      </c>
      <c r="F24" s="5" t="s">
        <v>193</v>
      </c>
      <c r="G24" s="6">
        <v>399</v>
      </c>
      <c r="H24" s="5">
        <v>1</v>
      </c>
      <c r="I24" s="14">
        <f t="shared" si="1"/>
        <v>399</v>
      </c>
      <c r="J24" s="5"/>
    </row>
    <row r="25" spans="1:10">
      <c r="A25" s="9"/>
      <c r="B25" s="10" t="str">
        <f t="shared" si="0"/>
        <v/>
      </c>
      <c r="C25" s="5"/>
      <c r="D25" s="5"/>
      <c r="E25" s="5"/>
      <c r="F25" s="5"/>
      <c r="G25" s="6"/>
      <c r="H25" s="5"/>
      <c r="I25" s="14" t="str">
        <f t="shared" si="1"/>
        <v/>
      </c>
      <c r="J25" s="5"/>
    </row>
    <row r="26" spans="1:10">
      <c r="A26" s="9"/>
      <c r="B26" s="10" t="str">
        <f t="shared" si="0"/>
        <v/>
      </c>
      <c r="C26" s="5"/>
      <c r="D26" s="5"/>
      <c r="E26" s="5"/>
      <c r="F26" s="5"/>
      <c r="G26" s="6"/>
      <c r="H26" s="5"/>
      <c r="I26" s="14" t="str">
        <f t="shared" si="1"/>
        <v/>
      </c>
      <c r="J26" s="5"/>
    </row>
    <row r="27" spans="1:10">
      <c r="A27" s="9"/>
      <c r="B27" s="10" t="str">
        <f t="shared" si="0"/>
        <v/>
      </c>
      <c r="C27" s="5"/>
      <c r="D27" s="5"/>
      <c r="E27" s="5"/>
      <c r="F27" s="5"/>
      <c r="G27" s="6"/>
      <c r="H27" s="5"/>
      <c r="I27" s="14" t="str">
        <f t="shared" si="1"/>
        <v/>
      </c>
      <c r="J27" s="5"/>
    </row>
    <row r="28" spans="1:10">
      <c r="A28" s="9"/>
      <c r="B28" s="10" t="str">
        <f t="shared" si="0"/>
        <v/>
      </c>
      <c r="C28" s="5"/>
      <c r="D28" s="5"/>
      <c r="E28" s="5"/>
      <c r="F28" s="5"/>
      <c r="G28" s="6"/>
      <c r="H28" s="5"/>
      <c r="I28" s="14" t="str">
        <f t="shared" si="1"/>
        <v/>
      </c>
      <c r="J28" s="5"/>
    </row>
    <row r="29" spans="1:10">
      <c r="A29" s="9"/>
      <c r="B29" s="10" t="str">
        <f t="shared" si="0"/>
        <v/>
      </c>
      <c r="C29" s="5"/>
      <c r="D29" s="5"/>
      <c r="E29" s="5"/>
      <c r="F29" s="5"/>
      <c r="G29" s="6"/>
      <c r="H29" s="5"/>
      <c r="I29" s="14" t="str">
        <f t="shared" si="1"/>
        <v/>
      </c>
      <c r="J29" s="5"/>
    </row>
    <row r="30" spans="1:10">
      <c r="A30" s="9"/>
      <c r="B30" s="10" t="str">
        <f t="shared" si="0"/>
        <v/>
      </c>
      <c r="C30" s="5"/>
      <c r="D30" s="5"/>
      <c r="E30" s="5"/>
      <c r="F30" s="5"/>
      <c r="G30" s="6"/>
      <c r="H30" s="5"/>
      <c r="I30" s="14" t="str">
        <f t="shared" si="1"/>
        <v/>
      </c>
      <c r="J30" s="5"/>
    </row>
    <row r="31" spans="1:10">
      <c r="A31" s="9"/>
      <c r="B31" s="10" t="str">
        <f t="shared" si="0"/>
        <v/>
      </c>
      <c r="C31" s="5"/>
      <c r="D31" s="5"/>
      <c r="E31" s="5"/>
      <c r="F31" s="5"/>
      <c r="G31" s="6"/>
      <c r="H31" s="5"/>
      <c r="I31" s="14" t="str">
        <f t="shared" si="1"/>
        <v/>
      </c>
      <c r="J31" s="5"/>
    </row>
    <row r="32" spans="1:10">
      <c r="A32" s="9"/>
      <c r="B32" s="10" t="str">
        <f t="shared" si="0"/>
        <v/>
      </c>
      <c r="C32" s="5"/>
      <c r="D32" s="5"/>
      <c r="E32" s="5"/>
      <c r="F32" s="5"/>
      <c r="G32" s="6"/>
      <c r="H32" s="5"/>
      <c r="I32" s="14" t="str">
        <f t="shared" si="1"/>
        <v/>
      </c>
      <c r="J32" s="5"/>
    </row>
    <row r="33" spans="1:10">
      <c r="A33" s="9"/>
      <c r="B33" s="10" t="str">
        <f t="shared" si="0"/>
        <v/>
      </c>
      <c r="C33" s="5"/>
      <c r="D33" s="5"/>
      <c r="E33" s="5"/>
      <c r="F33" s="5"/>
      <c r="G33" s="6"/>
      <c r="H33" s="5"/>
      <c r="I33" s="14" t="str">
        <f t="shared" si="1"/>
        <v/>
      </c>
      <c r="J33" s="5"/>
    </row>
    <row r="34" spans="1:10">
      <c r="A34" s="9"/>
      <c r="B34" s="10" t="str">
        <f t="shared" si="0"/>
        <v/>
      </c>
      <c r="C34" s="5"/>
      <c r="D34" s="5"/>
      <c r="E34" s="5"/>
      <c r="F34" s="5"/>
      <c r="G34" s="6"/>
      <c r="H34" s="5"/>
      <c r="I34" s="14" t="str">
        <f t="shared" si="1"/>
        <v/>
      </c>
      <c r="J34" s="5"/>
    </row>
    <row r="35" spans="1:10">
      <c r="A35" s="9"/>
      <c r="B35" s="10" t="str">
        <f t="shared" si="0"/>
        <v/>
      </c>
      <c r="C35" s="5"/>
      <c r="D35" s="5"/>
      <c r="E35" s="5"/>
      <c r="F35" s="5"/>
      <c r="G35" s="6"/>
      <c r="H35" s="5"/>
      <c r="I35" s="14" t="str">
        <f t="shared" si="1"/>
        <v/>
      </c>
      <c r="J35" s="5"/>
    </row>
    <row r="36" spans="1:10">
      <c r="A36" s="9"/>
      <c r="B36" s="10" t="str">
        <f t="shared" si="0"/>
        <v/>
      </c>
      <c r="C36" s="5"/>
      <c r="D36" s="5"/>
      <c r="E36" s="5"/>
      <c r="F36" s="5"/>
      <c r="G36" s="6"/>
      <c r="H36" s="5"/>
      <c r="I36" s="14" t="str">
        <f t="shared" si="1"/>
        <v/>
      </c>
      <c r="J36" s="5"/>
    </row>
    <row r="37" spans="1:10">
      <c r="A37" s="9"/>
      <c r="B37" s="10" t="str">
        <f t="shared" si="0"/>
        <v/>
      </c>
      <c r="C37" s="5"/>
      <c r="D37" s="5"/>
      <c r="E37" s="5"/>
      <c r="F37" s="5"/>
      <c r="G37" s="6"/>
      <c r="H37" s="5"/>
      <c r="I37" s="14" t="str">
        <f t="shared" si="1"/>
        <v/>
      </c>
      <c r="J37" s="5"/>
    </row>
    <row r="38" spans="1:10">
      <c r="A38" s="9"/>
      <c r="B38" s="10" t="str">
        <f t="shared" si="0"/>
        <v/>
      </c>
      <c r="C38" s="5"/>
      <c r="D38" s="5"/>
      <c r="E38" s="5"/>
      <c r="F38" s="5"/>
      <c r="G38" s="6"/>
      <c r="H38" s="5"/>
      <c r="I38" s="14" t="str">
        <f t="shared" si="1"/>
        <v/>
      </c>
      <c r="J38" s="5"/>
    </row>
    <row r="39" spans="1:10">
      <c r="A39" s="9"/>
      <c r="B39" s="10" t="str">
        <f t="shared" si="0"/>
        <v/>
      </c>
      <c r="C39" s="5"/>
      <c r="D39" s="5"/>
      <c r="E39" s="5"/>
      <c r="F39" s="5"/>
      <c r="G39" s="6"/>
      <c r="H39" s="5"/>
      <c r="I39" s="14" t="str">
        <f t="shared" si="1"/>
        <v/>
      </c>
      <c r="J39" s="5"/>
    </row>
    <row r="40" spans="1:10">
      <c r="A40" s="9"/>
      <c r="B40" s="10" t="str">
        <f t="shared" si="0"/>
        <v/>
      </c>
      <c r="C40" s="5"/>
      <c r="D40" s="5"/>
      <c r="E40" s="5"/>
      <c r="F40" s="5"/>
      <c r="G40" s="6"/>
      <c r="H40" s="5"/>
      <c r="I40" s="14" t="str">
        <f t="shared" si="1"/>
        <v/>
      </c>
      <c r="J40" s="5"/>
    </row>
    <row r="41" spans="1:10">
      <c r="A41" s="9"/>
      <c r="B41" s="10" t="str">
        <f t="shared" si="0"/>
        <v/>
      </c>
      <c r="C41" s="5"/>
      <c r="D41" s="5"/>
      <c r="E41" s="5"/>
      <c r="F41" s="5"/>
      <c r="G41" s="6"/>
      <c r="H41" s="5"/>
      <c r="I41" s="14" t="str">
        <f t="shared" si="1"/>
        <v/>
      </c>
      <c r="J41" s="5"/>
    </row>
    <row r="42" spans="1:10">
      <c r="A42" s="9"/>
      <c r="B42" s="10" t="str">
        <f t="shared" si="0"/>
        <v/>
      </c>
      <c r="C42" s="5"/>
      <c r="D42" s="5"/>
      <c r="E42" s="5"/>
      <c r="F42" s="5"/>
      <c r="G42" s="6"/>
      <c r="H42" s="5"/>
      <c r="I42" s="14" t="str">
        <f t="shared" si="1"/>
        <v/>
      </c>
      <c r="J42" s="5"/>
    </row>
    <row r="43" spans="1:10">
      <c r="A43" s="9"/>
      <c r="B43" s="10" t="str">
        <f t="shared" si="0"/>
        <v/>
      </c>
      <c r="C43" s="5"/>
      <c r="D43" s="5"/>
      <c r="E43" s="5"/>
      <c r="F43" s="5"/>
      <c r="G43" s="6"/>
      <c r="H43" s="5"/>
      <c r="I43" s="14" t="str">
        <f t="shared" si="1"/>
        <v/>
      </c>
      <c r="J43" s="5"/>
    </row>
    <row r="44" spans="1:10">
      <c r="A44" s="9"/>
      <c r="B44" s="10" t="str">
        <f t="shared" si="0"/>
        <v/>
      </c>
      <c r="C44" s="5"/>
      <c r="D44" s="5"/>
      <c r="E44" s="5"/>
      <c r="F44" s="5"/>
      <c r="G44" s="6"/>
      <c r="H44" s="5"/>
      <c r="I44" s="14" t="str">
        <f t="shared" si="1"/>
        <v/>
      </c>
      <c r="J44" s="5"/>
    </row>
    <row r="45" spans="1:10">
      <c r="A45" s="9"/>
      <c r="B45" s="10" t="str">
        <f t="shared" si="0"/>
        <v/>
      </c>
      <c r="C45" s="5"/>
      <c r="D45" s="5"/>
      <c r="E45" s="5"/>
      <c r="F45" s="5"/>
      <c r="G45" s="6"/>
      <c r="H45" s="5"/>
      <c r="I45" s="14" t="str">
        <f t="shared" si="1"/>
        <v/>
      </c>
      <c r="J45" s="5"/>
    </row>
    <row r="46" spans="1:10">
      <c r="A46" s="9"/>
      <c r="B46" s="10" t="str">
        <f t="shared" si="0"/>
        <v/>
      </c>
      <c r="C46" s="5"/>
      <c r="D46" s="5"/>
      <c r="E46" s="5"/>
      <c r="F46" s="5"/>
      <c r="G46" s="6"/>
      <c r="H46" s="5"/>
      <c r="I46" s="14" t="str">
        <f t="shared" si="1"/>
        <v/>
      </c>
      <c r="J46" s="5"/>
    </row>
    <row r="47" spans="1:10">
      <c r="A47" s="9"/>
      <c r="B47" s="10" t="str">
        <f t="shared" si="0"/>
        <v/>
      </c>
      <c r="C47" s="5"/>
      <c r="D47" s="5"/>
      <c r="E47" s="5"/>
      <c r="F47" s="5"/>
      <c r="G47" s="6"/>
      <c r="H47" s="5"/>
      <c r="I47" s="14" t="str">
        <f t="shared" si="1"/>
        <v/>
      </c>
      <c r="J47" s="5"/>
    </row>
    <row r="48" spans="1:10">
      <c r="A48" s="9"/>
      <c r="B48" s="10" t="str">
        <f t="shared" si="0"/>
        <v/>
      </c>
      <c r="C48" s="5"/>
      <c r="D48" s="5"/>
      <c r="E48" s="5"/>
      <c r="F48" s="5"/>
      <c r="G48" s="6"/>
      <c r="H48" s="5"/>
      <c r="I48" s="14" t="str">
        <f t="shared" si="1"/>
        <v/>
      </c>
      <c r="J48" s="5"/>
    </row>
    <row r="49" spans="1:10">
      <c r="A49" s="9"/>
      <c r="B49" s="10" t="str">
        <f t="shared" si="0"/>
        <v/>
      </c>
      <c r="C49" s="5"/>
      <c r="D49" s="5"/>
      <c r="E49" s="5"/>
      <c r="F49" s="5"/>
      <c r="G49" s="6"/>
      <c r="H49" s="5"/>
      <c r="I49" s="14" t="str">
        <f t="shared" si="1"/>
        <v/>
      </c>
      <c r="J49" s="5"/>
    </row>
    <row r="50" spans="1:10">
      <c r="A50" s="9"/>
      <c r="B50" s="10" t="str">
        <f t="shared" si="0"/>
        <v/>
      </c>
      <c r="C50" s="5"/>
      <c r="D50" s="5"/>
      <c r="E50" s="5"/>
      <c r="F50" s="5"/>
      <c r="G50" s="6"/>
      <c r="H50" s="5"/>
      <c r="I50" s="14" t="str">
        <f t="shared" si="1"/>
        <v/>
      </c>
      <c r="J50" s="5"/>
    </row>
    <row r="51" spans="1:10">
      <c r="A51" s="9"/>
      <c r="B51" s="10" t="str">
        <f t="shared" si="0"/>
        <v/>
      </c>
      <c r="C51" s="5"/>
      <c r="D51" s="5"/>
      <c r="E51" s="5"/>
      <c r="F51" s="5"/>
      <c r="G51" s="6"/>
      <c r="H51" s="5"/>
      <c r="I51" s="14" t="str">
        <f t="shared" si="1"/>
        <v/>
      </c>
      <c r="J51" s="5"/>
    </row>
    <row r="52" spans="1:10">
      <c r="A52" s="9"/>
      <c r="B52" s="10" t="str">
        <f t="shared" si="0"/>
        <v/>
      </c>
      <c r="C52" s="5"/>
      <c r="D52" s="5"/>
      <c r="E52" s="5"/>
      <c r="F52" s="5"/>
      <c r="G52" s="6"/>
      <c r="H52" s="5"/>
      <c r="I52" s="14" t="str">
        <f t="shared" si="1"/>
        <v/>
      </c>
      <c r="J52" s="5"/>
    </row>
    <row r="53" spans="1:10">
      <c r="A53" s="9"/>
      <c r="B53" s="10" t="str">
        <f t="shared" si="0"/>
        <v/>
      </c>
      <c r="C53" s="5"/>
      <c r="D53" s="5"/>
      <c r="E53" s="5"/>
      <c r="F53" s="5"/>
      <c r="G53" s="6"/>
      <c r="H53" s="5"/>
      <c r="I53" s="14" t="str">
        <f t="shared" si="1"/>
        <v/>
      </c>
      <c r="J53" s="5"/>
    </row>
    <row r="54" spans="1:10">
      <c r="A54" s="9"/>
      <c r="B54" s="10" t="str">
        <f t="shared" si="0"/>
        <v/>
      </c>
      <c r="C54" s="5"/>
      <c r="D54" s="5"/>
      <c r="E54" s="5"/>
      <c r="F54" s="5"/>
      <c r="G54" s="6"/>
      <c r="H54" s="5"/>
      <c r="I54" s="14" t="str">
        <f t="shared" si="1"/>
        <v/>
      </c>
      <c r="J54" s="5"/>
    </row>
    <row r="55" spans="1:10">
      <c r="A55" s="9"/>
      <c r="B55" s="10" t="str">
        <f t="shared" si="0"/>
        <v/>
      </c>
      <c r="C55" s="5"/>
      <c r="D55" s="5"/>
      <c r="E55" s="5"/>
      <c r="F55" s="5"/>
      <c r="G55" s="6"/>
      <c r="H55" s="5"/>
      <c r="I55" s="14" t="str">
        <f t="shared" si="1"/>
        <v/>
      </c>
      <c r="J55" s="5"/>
    </row>
    <row r="56" spans="1:10">
      <c r="A56" s="9"/>
      <c r="B56" s="10" t="str">
        <f t="shared" si="0"/>
        <v/>
      </c>
      <c r="C56" s="5"/>
      <c r="D56" s="5"/>
      <c r="E56" s="5"/>
      <c r="F56" s="5"/>
      <c r="G56" s="6"/>
      <c r="H56" s="5"/>
      <c r="I56" s="14" t="str">
        <f t="shared" si="1"/>
        <v/>
      </c>
      <c r="J56" s="5"/>
    </row>
    <row r="57" spans="1:10">
      <c r="A57" s="9"/>
      <c r="B57" s="10" t="str">
        <f t="shared" si="0"/>
        <v/>
      </c>
      <c r="C57" s="5"/>
      <c r="D57" s="5"/>
      <c r="E57" s="5"/>
      <c r="F57" s="5"/>
      <c r="G57" s="6"/>
      <c r="H57" s="5"/>
      <c r="I57" s="14" t="str">
        <f t="shared" si="1"/>
        <v/>
      </c>
      <c r="J57" s="5"/>
    </row>
    <row r="58" spans="1:10">
      <c r="A58" s="9"/>
      <c r="B58" s="10" t="str">
        <f t="shared" si="0"/>
        <v/>
      </c>
      <c r="C58" s="5"/>
      <c r="D58" s="5"/>
      <c r="E58" s="5"/>
      <c r="F58" s="5"/>
      <c r="G58" s="6"/>
      <c r="H58" s="5"/>
      <c r="I58" s="14" t="str">
        <f t="shared" si="1"/>
        <v/>
      </c>
      <c r="J58" s="5"/>
    </row>
    <row r="59" spans="1:10">
      <c r="A59" s="9"/>
      <c r="B59" s="10" t="str">
        <f t="shared" si="0"/>
        <v/>
      </c>
      <c r="C59" s="5"/>
      <c r="D59" s="5"/>
      <c r="E59" s="5"/>
      <c r="F59" s="5"/>
      <c r="G59" s="6"/>
      <c r="H59" s="5"/>
      <c r="I59" s="14" t="str">
        <f t="shared" si="1"/>
        <v/>
      </c>
      <c r="J59" s="5"/>
    </row>
    <row r="60" spans="1:10">
      <c r="A60" s="9"/>
      <c r="B60" s="10" t="str">
        <f t="shared" si="0"/>
        <v/>
      </c>
      <c r="C60" s="5"/>
      <c r="D60" s="5"/>
      <c r="E60" s="5"/>
      <c r="F60" s="5"/>
      <c r="G60" s="6"/>
      <c r="H60" s="5"/>
      <c r="I60" s="14" t="str">
        <f t="shared" si="1"/>
        <v/>
      </c>
      <c r="J60" s="5"/>
    </row>
    <row r="61" spans="1:10">
      <c r="A61" s="9"/>
      <c r="B61" s="10" t="str">
        <f t="shared" si="0"/>
        <v/>
      </c>
      <c r="C61" s="5"/>
      <c r="D61" s="5"/>
      <c r="E61" s="5"/>
      <c r="F61" s="5"/>
      <c r="G61" s="6"/>
      <c r="H61" s="5"/>
      <c r="I61" s="14" t="str">
        <f t="shared" si="1"/>
        <v/>
      </c>
      <c r="J61" s="5"/>
    </row>
    <row r="62" spans="1:10">
      <c r="A62" s="9"/>
      <c r="B62" s="10" t="str">
        <f t="shared" si="0"/>
        <v/>
      </c>
      <c r="C62" s="5"/>
      <c r="D62" s="5"/>
      <c r="E62" s="5"/>
      <c r="F62" s="5"/>
      <c r="G62" s="6"/>
      <c r="H62" s="5"/>
      <c r="I62" s="14" t="str">
        <f t="shared" si="1"/>
        <v/>
      </c>
      <c r="J62" s="5"/>
    </row>
    <row r="63" spans="1:10">
      <c r="A63" s="9"/>
      <c r="B63" s="10" t="str">
        <f t="shared" si="0"/>
        <v/>
      </c>
      <c r="C63" s="5"/>
      <c r="D63" s="5"/>
      <c r="E63" s="5"/>
      <c r="F63" s="5"/>
      <c r="G63" s="6"/>
      <c r="H63" s="5"/>
      <c r="I63" s="14" t="str">
        <f t="shared" si="1"/>
        <v/>
      </c>
      <c r="J63" s="5"/>
    </row>
    <row r="64" spans="1:10">
      <c r="A64" s="9"/>
      <c r="B64" s="10" t="str">
        <f t="shared" si="0"/>
        <v/>
      </c>
      <c r="C64" s="5"/>
      <c r="D64" s="5"/>
      <c r="E64" s="5"/>
      <c r="F64" s="5"/>
      <c r="G64" s="6"/>
      <c r="H64" s="5"/>
      <c r="I64" s="14" t="str">
        <f t="shared" si="1"/>
        <v/>
      </c>
      <c r="J64" s="5"/>
    </row>
    <row r="65" spans="1:10">
      <c r="A65" s="9"/>
      <c r="B65" s="10" t="str">
        <f t="shared" si="0"/>
        <v/>
      </c>
      <c r="C65" s="5"/>
      <c r="D65" s="5"/>
      <c r="E65" s="5"/>
      <c r="F65" s="5"/>
      <c r="G65" s="6"/>
      <c r="H65" s="5"/>
      <c r="I65" s="14" t="str">
        <f t="shared" si="1"/>
        <v/>
      </c>
      <c r="J65" s="5"/>
    </row>
    <row r="66" spans="1:10">
      <c r="A66" s="9"/>
      <c r="B66" s="10" t="str">
        <f t="shared" ref="B66:B129" si="2">IF(A66="","",YEAR(A66)&amp;"/"&amp;RIGHT("0"&amp;MONTH(A66),2))</f>
        <v/>
      </c>
      <c r="C66" s="5"/>
      <c r="D66" s="5"/>
      <c r="E66" s="5"/>
      <c r="F66" s="5"/>
      <c r="G66" s="6"/>
      <c r="H66" s="5"/>
      <c r="I66" s="14" t="str">
        <f t="shared" ref="I66:I129" si="3">IF(OR(G66="",H66=""),"",G66*H66)</f>
        <v/>
      </c>
      <c r="J66" s="5"/>
    </row>
    <row r="67" spans="1:10">
      <c r="A67" s="9"/>
      <c r="B67" s="10" t="str">
        <f t="shared" si="2"/>
        <v/>
      </c>
      <c r="C67" s="5"/>
      <c r="D67" s="5"/>
      <c r="E67" s="5"/>
      <c r="F67" s="5"/>
      <c r="G67" s="6"/>
      <c r="H67" s="5"/>
      <c r="I67" s="14" t="str">
        <f t="shared" si="3"/>
        <v/>
      </c>
      <c r="J67" s="5"/>
    </row>
    <row r="68" spans="1:10">
      <c r="A68" s="9"/>
      <c r="B68" s="10" t="str">
        <f t="shared" si="2"/>
        <v/>
      </c>
      <c r="C68" s="5"/>
      <c r="D68" s="5"/>
      <c r="E68" s="5"/>
      <c r="F68" s="5"/>
      <c r="G68" s="6"/>
      <c r="H68" s="5"/>
      <c r="I68" s="14" t="str">
        <f t="shared" si="3"/>
        <v/>
      </c>
      <c r="J68" s="5"/>
    </row>
    <row r="69" spans="1:10">
      <c r="A69" s="9"/>
      <c r="B69" s="10" t="str">
        <f t="shared" si="2"/>
        <v/>
      </c>
      <c r="C69" s="5"/>
      <c r="D69" s="5"/>
      <c r="E69" s="5"/>
      <c r="F69" s="5"/>
      <c r="G69" s="6"/>
      <c r="H69" s="5"/>
      <c r="I69" s="14" t="str">
        <f t="shared" si="3"/>
        <v/>
      </c>
      <c r="J69" s="5"/>
    </row>
    <row r="70" spans="1:10">
      <c r="A70" s="9"/>
      <c r="B70" s="10" t="str">
        <f t="shared" si="2"/>
        <v/>
      </c>
      <c r="C70" s="5"/>
      <c r="D70" s="5"/>
      <c r="E70" s="5"/>
      <c r="F70" s="5"/>
      <c r="G70" s="6"/>
      <c r="H70" s="5"/>
      <c r="I70" s="14" t="str">
        <f t="shared" si="3"/>
        <v/>
      </c>
      <c r="J70" s="5"/>
    </row>
    <row r="71" spans="1:10">
      <c r="A71" s="9"/>
      <c r="B71" s="10" t="str">
        <f t="shared" si="2"/>
        <v/>
      </c>
      <c r="C71" s="5"/>
      <c r="D71" s="5"/>
      <c r="E71" s="5"/>
      <c r="F71" s="5"/>
      <c r="G71" s="6"/>
      <c r="H71" s="5"/>
      <c r="I71" s="14" t="str">
        <f t="shared" si="3"/>
        <v/>
      </c>
      <c r="J71" s="5"/>
    </row>
    <row r="72" spans="1:10">
      <c r="A72" s="9"/>
      <c r="B72" s="10" t="str">
        <f t="shared" si="2"/>
        <v/>
      </c>
      <c r="C72" s="5"/>
      <c r="D72" s="5"/>
      <c r="E72" s="5"/>
      <c r="F72" s="5"/>
      <c r="G72" s="6"/>
      <c r="H72" s="5"/>
      <c r="I72" s="14" t="str">
        <f t="shared" si="3"/>
        <v/>
      </c>
      <c r="J72" s="5"/>
    </row>
    <row r="73" spans="1:10">
      <c r="A73" s="9"/>
      <c r="B73" s="10" t="str">
        <f t="shared" si="2"/>
        <v/>
      </c>
      <c r="C73" s="5"/>
      <c r="D73" s="5"/>
      <c r="E73" s="5"/>
      <c r="F73" s="5"/>
      <c r="G73" s="6"/>
      <c r="H73" s="5"/>
      <c r="I73" s="14" t="str">
        <f t="shared" si="3"/>
        <v/>
      </c>
      <c r="J73" s="5"/>
    </row>
    <row r="74" spans="1:10">
      <c r="A74" s="9"/>
      <c r="B74" s="10" t="str">
        <f t="shared" si="2"/>
        <v/>
      </c>
      <c r="C74" s="5"/>
      <c r="D74" s="5"/>
      <c r="E74" s="5"/>
      <c r="F74" s="5"/>
      <c r="G74" s="6"/>
      <c r="H74" s="5"/>
      <c r="I74" s="14" t="str">
        <f t="shared" si="3"/>
        <v/>
      </c>
      <c r="J74" s="5"/>
    </row>
    <row r="75" spans="1:10">
      <c r="A75" s="9"/>
      <c r="B75" s="10" t="str">
        <f t="shared" si="2"/>
        <v/>
      </c>
      <c r="C75" s="5"/>
      <c r="D75" s="5"/>
      <c r="E75" s="5"/>
      <c r="F75" s="5"/>
      <c r="G75" s="6"/>
      <c r="H75" s="5"/>
      <c r="I75" s="14" t="str">
        <f t="shared" si="3"/>
        <v/>
      </c>
      <c r="J75" s="5"/>
    </row>
    <row r="76" spans="1:10">
      <c r="A76" s="9"/>
      <c r="B76" s="10" t="str">
        <f t="shared" si="2"/>
        <v/>
      </c>
      <c r="C76" s="5"/>
      <c r="D76" s="5"/>
      <c r="E76" s="5"/>
      <c r="F76" s="5"/>
      <c r="G76" s="6"/>
      <c r="H76" s="5"/>
      <c r="I76" s="14" t="str">
        <f t="shared" si="3"/>
        <v/>
      </c>
      <c r="J76" s="5"/>
    </row>
    <row r="77" spans="1:10">
      <c r="A77" s="9"/>
      <c r="B77" s="10" t="str">
        <f t="shared" si="2"/>
        <v/>
      </c>
      <c r="C77" s="5"/>
      <c r="D77" s="5"/>
      <c r="E77" s="5"/>
      <c r="F77" s="5"/>
      <c r="G77" s="6"/>
      <c r="H77" s="5"/>
      <c r="I77" s="14" t="str">
        <f t="shared" si="3"/>
        <v/>
      </c>
      <c r="J77" s="5"/>
    </row>
    <row r="78" spans="1:10">
      <c r="A78" s="9"/>
      <c r="B78" s="10" t="str">
        <f t="shared" si="2"/>
        <v/>
      </c>
      <c r="C78" s="5"/>
      <c r="D78" s="5"/>
      <c r="E78" s="5"/>
      <c r="F78" s="5"/>
      <c r="G78" s="6"/>
      <c r="H78" s="5"/>
      <c r="I78" s="14" t="str">
        <f t="shared" si="3"/>
        <v/>
      </c>
      <c r="J78" s="5"/>
    </row>
    <row r="79" spans="1:10">
      <c r="A79" s="9"/>
      <c r="B79" s="10" t="str">
        <f t="shared" si="2"/>
        <v/>
      </c>
      <c r="C79" s="5"/>
      <c r="D79" s="5"/>
      <c r="E79" s="5"/>
      <c r="F79" s="5"/>
      <c r="G79" s="6"/>
      <c r="H79" s="5"/>
      <c r="I79" s="14" t="str">
        <f t="shared" si="3"/>
        <v/>
      </c>
      <c r="J79" s="5"/>
    </row>
    <row r="80" spans="1:10">
      <c r="A80" s="9"/>
      <c r="B80" s="10" t="str">
        <f t="shared" si="2"/>
        <v/>
      </c>
      <c r="C80" s="5"/>
      <c r="D80" s="5"/>
      <c r="E80" s="5"/>
      <c r="F80" s="5"/>
      <c r="G80" s="6"/>
      <c r="H80" s="5"/>
      <c r="I80" s="14" t="str">
        <f t="shared" si="3"/>
        <v/>
      </c>
      <c r="J80" s="5"/>
    </row>
    <row r="81" spans="1:10">
      <c r="A81" s="9"/>
      <c r="B81" s="10" t="str">
        <f t="shared" si="2"/>
        <v/>
      </c>
      <c r="C81" s="5"/>
      <c r="D81" s="5"/>
      <c r="E81" s="5"/>
      <c r="F81" s="5"/>
      <c r="G81" s="6"/>
      <c r="H81" s="5"/>
      <c r="I81" s="14" t="str">
        <f t="shared" si="3"/>
        <v/>
      </c>
      <c r="J81" s="5"/>
    </row>
    <row r="82" spans="1:10">
      <c r="A82" s="9"/>
      <c r="B82" s="10" t="str">
        <f t="shared" si="2"/>
        <v/>
      </c>
      <c r="C82" s="5"/>
      <c r="D82" s="5"/>
      <c r="E82" s="5"/>
      <c r="F82" s="5"/>
      <c r="G82" s="6"/>
      <c r="H82" s="5"/>
      <c r="I82" s="14" t="str">
        <f t="shared" si="3"/>
        <v/>
      </c>
      <c r="J82" s="5"/>
    </row>
    <row r="83" spans="1:10">
      <c r="A83" s="9"/>
      <c r="B83" s="10" t="str">
        <f t="shared" si="2"/>
        <v/>
      </c>
      <c r="C83" s="5"/>
      <c r="D83" s="5"/>
      <c r="E83" s="5"/>
      <c r="F83" s="5"/>
      <c r="G83" s="6"/>
      <c r="H83" s="5"/>
      <c r="I83" s="14" t="str">
        <f t="shared" si="3"/>
        <v/>
      </c>
      <c r="J83" s="5"/>
    </row>
    <row r="84" spans="1:10">
      <c r="A84" s="9"/>
      <c r="B84" s="10" t="str">
        <f t="shared" si="2"/>
        <v/>
      </c>
      <c r="C84" s="5"/>
      <c r="D84" s="5"/>
      <c r="E84" s="5"/>
      <c r="F84" s="5"/>
      <c r="G84" s="6"/>
      <c r="H84" s="5"/>
      <c r="I84" s="14" t="str">
        <f t="shared" si="3"/>
        <v/>
      </c>
      <c r="J84" s="5"/>
    </row>
    <row r="85" spans="1:10">
      <c r="A85" s="9"/>
      <c r="B85" s="10" t="str">
        <f t="shared" si="2"/>
        <v/>
      </c>
      <c r="C85" s="5"/>
      <c r="D85" s="5"/>
      <c r="E85" s="5"/>
      <c r="F85" s="5"/>
      <c r="G85" s="6"/>
      <c r="H85" s="5"/>
      <c r="I85" s="14" t="str">
        <f t="shared" si="3"/>
        <v/>
      </c>
      <c r="J85" s="5"/>
    </row>
    <row r="86" spans="1:10">
      <c r="A86" s="9"/>
      <c r="B86" s="10" t="str">
        <f t="shared" si="2"/>
        <v/>
      </c>
      <c r="C86" s="5"/>
      <c r="D86" s="5"/>
      <c r="E86" s="5"/>
      <c r="F86" s="5"/>
      <c r="G86" s="6"/>
      <c r="H86" s="5"/>
      <c r="I86" s="14" t="str">
        <f t="shared" si="3"/>
        <v/>
      </c>
      <c r="J86" s="5"/>
    </row>
    <row r="87" spans="1:10">
      <c r="A87" s="9"/>
      <c r="B87" s="10" t="str">
        <f t="shared" si="2"/>
        <v/>
      </c>
      <c r="C87" s="5"/>
      <c r="D87" s="5"/>
      <c r="E87" s="5"/>
      <c r="F87" s="5"/>
      <c r="G87" s="6"/>
      <c r="H87" s="5"/>
      <c r="I87" s="14" t="str">
        <f t="shared" si="3"/>
        <v/>
      </c>
      <c r="J87" s="5"/>
    </row>
    <row r="88" spans="1:10">
      <c r="A88" s="9"/>
      <c r="B88" s="10" t="str">
        <f t="shared" si="2"/>
        <v/>
      </c>
      <c r="C88" s="5"/>
      <c r="D88" s="5"/>
      <c r="E88" s="5"/>
      <c r="F88" s="5"/>
      <c r="G88" s="6"/>
      <c r="H88" s="5"/>
      <c r="I88" s="14" t="str">
        <f t="shared" si="3"/>
        <v/>
      </c>
      <c r="J88" s="5"/>
    </row>
    <row r="89" spans="1:10">
      <c r="A89" s="9"/>
      <c r="B89" s="10" t="str">
        <f t="shared" si="2"/>
        <v/>
      </c>
      <c r="C89" s="5"/>
      <c r="D89" s="5"/>
      <c r="E89" s="5"/>
      <c r="F89" s="5"/>
      <c r="G89" s="6"/>
      <c r="H89" s="5"/>
      <c r="I89" s="14" t="str">
        <f t="shared" si="3"/>
        <v/>
      </c>
      <c r="J89" s="5"/>
    </row>
    <row r="90" spans="1:10">
      <c r="A90" s="9"/>
      <c r="B90" s="10" t="str">
        <f t="shared" si="2"/>
        <v/>
      </c>
      <c r="C90" s="5"/>
      <c r="D90" s="5"/>
      <c r="E90" s="5"/>
      <c r="F90" s="5"/>
      <c r="G90" s="6"/>
      <c r="H90" s="5"/>
      <c r="I90" s="14" t="str">
        <f t="shared" si="3"/>
        <v/>
      </c>
      <c r="J90" s="5"/>
    </row>
    <row r="91" spans="1:10">
      <c r="A91" s="9"/>
      <c r="B91" s="10" t="str">
        <f t="shared" si="2"/>
        <v/>
      </c>
      <c r="C91" s="5"/>
      <c r="D91" s="5"/>
      <c r="E91" s="5"/>
      <c r="F91" s="5"/>
      <c r="G91" s="6"/>
      <c r="H91" s="5"/>
      <c r="I91" s="14" t="str">
        <f t="shared" si="3"/>
        <v/>
      </c>
      <c r="J91" s="5"/>
    </row>
    <row r="92" spans="1:10">
      <c r="A92" s="9"/>
      <c r="B92" s="10" t="str">
        <f t="shared" si="2"/>
        <v/>
      </c>
      <c r="C92" s="5"/>
      <c r="D92" s="5"/>
      <c r="E92" s="5"/>
      <c r="F92" s="5"/>
      <c r="G92" s="6"/>
      <c r="H92" s="5"/>
      <c r="I92" s="14" t="str">
        <f t="shared" si="3"/>
        <v/>
      </c>
      <c r="J92" s="5"/>
    </row>
    <row r="93" spans="1:10">
      <c r="A93" s="9"/>
      <c r="B93" s="10" t="str">
        <f t="shared" si="2"/>
        <v/>
      </c>
      <c r="C93" s="5"/>
      <c r="D93" s="5"/>
      <c r="E93" s="5"/>
      <c r="F93" s="5"/>
      <c r="G93" s="6"/>
      <c r="H93" s="5"/>
      <c r="I93" s="14" t="str">
        <f t="shared" si="3"/>
        <v/>
      </c>
      <c r="J93" s="5"/>
    </row>
    <row r="94" spans="1:10">
      <c r="A94" s="9"/>
      <c r="B94" s="10" t="str">
        <f t="shared" si="2"/>
        <v/>
      </c>
      <c r="C94" s="5"/>
      <c r="D94" s="5"/>
      <c r="E94" s="5"/>
      <c r="F94" s="5"/>
      <c r="G94" s="6"/>
      <c r="H94" s="5"/>
      <c r="I94" s="14" t="str">
        <f t="shared" si="3"/>
        <v/>
      </c>
      <c r="J94" s="5"/>
    </row>
    <row r="95" spans="1:10">
      <c r="A95" s="9"/>
      <c r="B95" s="10" t="str">
        <f t="shared" si="2"/>
        <v/>
      </c>
      <c r="C95" s="5"/>
      <c r="D95" s="5"/>
      <c r="E95" s="5"/>
      <c r="F95" s="5"/>
      <c r="G95" s="6"/>
      <c r="H95" s="5"/>
      <c r="I95" s="14" t="str">
        <f t="shared" si="3"/>
        <v/>
      </c>
      <c r="J95" s="5"/>
    </row>
    <row r="96" spans="1:10">
      <c r="A96" s="9"/>
      <c r="B96" s="10" t="str">
        <f t="shared" si="2"/>
        <v/>
      </c>
      <c r="C96" s="5"/>
      <c r="D96" s="5"/>
      <c r="E96" s="5"/>
      <c r="F96" s="5"/>
      <c r="G96" s="6"/>
      <c r="H96" s="5"/>
      <c r="I96" s="14" t="str">
        <f t="shared" si="3"/>
        <v/>
      </c>
      <c r="J96" s="5"/>
    </row>
    <row r="97" spans="1:10">
      <c r="A97" s="9"/>
      <c r="B97" s="10" t="str">
        <f t="shared" si="2"/>
        <v/>
      </c>
      <c r="C97" s="5"/>
      <c r="D97" s="5"/>
      <c r="E97" s="5"/>
      <c r="F97" s="5"/>
      <c r="G97" s="6"/>
      <c r="H97" s="5"/>
      <c r="I97" s="14" t="str">
        <f t="shared" si="3"/>
        <v/>
      </c>
      <c r="J97" s="5"/>
    </row>
    <row r="98" spans="1:10">
      <c r="A98" s="9"/>
      <c r="B98" s="10" t="str">
        <f t="shared" si="2"/>
        <v/>
      </c>
      <c r="C98" s="5"/>
      <c r="D98" s="5"/>
      <c r="E98" s="5"/>
      <c r="F98" s="5"/>
      <c r="G98" s="6"/>
      <c r="H98" s="5"/>
      <c r="I98" s="14" t="str">
        <f t="shared" si="3"/>
        <v/>
      </c>
      <c r="J98" s="5"/>
    </row>
    <row r="99" spans="1:10">
      <c r="A99" s="9"/>
      <c r="B99" s="10" t="str">
        <f t="shared" si="2"/>
        <v/>
      </c>
      <c r="C99" s="5"/>
      <c r="D99" s="5"/>
      <c r="E99" s="5"/>
      <c r="F99" s="5"/>
      <c r="G99" s="6"/>
      <c r="H99" s="5"/>
      <c r="I99" s="14" t="str">
        <f t="shared" si="3"/>
        <v/>
      </c>
      <c r="J99" s="5"/>
    </row>
    <row r="100" spans="1:10">
      <c r="A100" s="9"/>
      <c r="B100" s="10" t="str">
        <f t="shared" si="2"/>
        <v/>
      </c>
      <c r="C100" s="5"/>
      <c r="D100" s="5"/>
      <c r="E100" s="5"/>
      <c r="F100" s="5"/>
      <c r="G100" s="6"/>
      <c r="H100" s="5"/>
      <c r="I100" s="14" t="str">
        <f t="shared" si="3"/>
        <v/>
      </c>
      <c r="J100" s="5"/>
    </row>
    <row r="101" spans="1:10">
      <c r="A101" s="9"/>
      <c r="B101" s="10" t="str">
        <f t="shared" si="2"/>
        <v/>
      </c>
      <c r="C101" s="5"/>
      <c r="D101" s="5"/>
      <c r="E101" s="5"/>
      <c r="F101" s="5"/>
      <c r="G101" s="6"/>
      <c r="H101" s="5"/>
      <c r="I101" s="14" t="str">
        <f t="shared" si="3"/>
        <v/>
      </c>
      <c r="J101" s="5"/>
    </row>
    <row r="102" spans="1:10">
      <c r="A102" s="9"/>
      <c r="B102" s="10" t="str">
        <f t="shared" si="2"/>
        <v/>
      </c>
      <c r="C102" s="5"/>
      <c r="D102" s="5"/>
      <c r="E102" s="5"/>
      <c r="F102" s="5"/>
      <c r="G102" s="6"/>
      <c r="H102" s="5"/>
      <c r="I102" s="14" t="str">
        <f t="shared" si="3"/>
        <v/>
      </c>
      <c r="J102" s="5"/>
    </row>
    <row r="103" spans="1:10">
      <c r="A103" s="9"/>
      <c r="B103" s="10" t="str">
        <f t="shared" si="2"/>
        <v/>
      </c>
      <c r="C103" s="5"/>
      <c r="D103" s="5"/>
      <c r="E103" s="5"/>
      <c r="F103" s="5"/>
      <c r="G103" s="6"/>
      <c r="H103" s="5"/>
      <c r="I103" s="14" t="str">
        <f t="shared" si="3"/>
        <v/>
      </c>
      <c r="J103" s="5"/>
    </row>
    <row r="104" spans="1:10">
      <c r="A104" s="9"/>
      <c r="B104" s="10" t="str">
        <f t="shared" si="2"/>
        <v/>
      </c>
      <c r="C104" s="5"/>
      <c r="D104" s="5"/>
      <c r="E104" s="5"/>
      <c r="F104" s="5"/>
      <c r="G104" s="6"/>
      <c r="H104" s="5"/>
      <c r="I104" s="14" t="str">
        <f t="shared" si="3"/>
        <v/>
      </c>
      <c r="J104" s="5"/>
    </row>
    <row r="105" spans="1:10">
      <c r="A105" s="9"/>
      <c r="B105" s="10" t="str">
        <f t="shared" si="2"/>
        <v/>
      </c>
      <c r="C105" s="5"/>
      <c r="D105" s="5"/>
      <c r="E105" s="5"/>
      <c r="F105" s="5"/>
      <c r="G105" s="6"/>
      <c r="H105" s="5"/>
      <c r="I105" s="14" t="str">
        <f t="shared" si="3"/>
        <v/>
      </c>
      <c r="J105" s="5"/>
    </row>
    <row r="106" spans="1:10">
      <c r="A106" s="9"/>
      <c r="B106" s="10" t="str">
        <f t="shared" si="2"/>
        <v/>
      </c>
      <c r="C106" s="5"/>
      <c r="D106" s="5"/>
      <c r="E106" s="5"/>
      <c r="F106" s="5"/>
      <c r="G106" s="6"/>
      <c r="H106" s="5"/>
      <c r="I106" s="14" t="str">
        <f t="shared" si="3"/>
        <v/>
      </c>
      <c r="J106" s="5"/>
    </row>
    <row r="107" spans="1:10">
      <c r="A107" s="9"/>
      <c r="B107" s="10" t="str">
        <f t="shared" si="2"/>
        <v/>
      </c>
      <c r="C107" s="5"/>
      <c r="D107" s="5"/>
      <c r="E107" s="5"/>
      <c r="F107" s="5"/>
      <c r="G107" s="6"/>
      <c r="H107" s="5"/>
      <c r="I107" s="14" t="str">
        <f t="shared" si="3"/>
        <v/>
      </c>
      <c r="J107" s="5"/>
    </row>
    <row r="108" spans="1:10">
      <c r="A108" s="9"/>
      <c r="B108" s="10" t="str">
        <f t="shared" si="2"/>
        <v/>
      </c>
      <c r="C108" s="5"/>
      <c r="D108" s="5"/>
      <c r="E108" s="5"/>
      <c r="F108" s="5"/>
      <c r="G108" s="6"/>
      <c r="H108" s="5"/>
      <c r="I108" s="14" t="str">
        <f t="shared" si="3"/>
        <v/>
      </c>
      <c r="J108" s="5"/>
    </row>
    <row r="109" spans="1:10">
      <c r="A109" s="9"/>
      <c r="B109" s="10" t="str">
        <f t="shared" si="2"/>
        <v/>
      </c>
      <c r="C109" s="5"/>
      <c r="D109" s="5"/>
      <c r="E109" s="5"/>
      <c r="F109" s="5"/>
      <c r="G109" s="6"/>
      <c r="H109" s="5"/>
      <c r="I109" s="14" t="str">
        <f t="shared" si="3"/>
        <v/>
      </c>
      <c r="J109" s="5"/>
    </row>
    <row r="110" spans="1:10">
      <c r="A110" s="9"/>
      <c r="B110" s="10" t="str">
        <f t="shared" si="2"/>
        <v/>
      </c>
      <c r="C110" s="5"/>
      <c r="D110" s="5"/>
      <c r="E110" s="5"/>
      <c r="F110" s="5"/>
      <c r="G110" s="6"/>
      <c r="H110" s="5"/>
      <c r="I110" s="14" t="str">
        <f t="shared" si="3"/>
        <v/>
      </c>
      <c r="J110" s="5"/>
    </row>
    <row r="111" spans="1:10">
      <c r="A111" s="9"/>
      <c r="B111" s="10" t="str">
        <f t="shared" si="2"/>
        <v/>
      </c>
      <c r="C111" s="5"/>
      <c r="D111" s="5"/>
      <c r="E111" s="5"/>
      <c r="F111" s="5"/>
      <c r="G111" s="6"/>
      <c r="H111" s="5"/>
      <c r="I111" s="14" t="str">
        <f t="shared" si="3"/>
        <v/>
      </c>
      <c r="J111" s="5"/>
    </row>
    <row r="112" spans="1:10">
      <c r="A112" s="9"/>
      <c r="B112" s="10" t="str">
        <f t="shared" si="2"/>
        <v/>
      </c>
      <c r="C112" s="5"/>
      <c r="D112" s="5"/>
      <c r="E112" s="5"/>
      <c r="F112" s="5"/>
      <c r="G112" s="6"/>
      <c r="H112" s="5"/>
      <c r="I112" s="14" t="str">
        <f t="shared" si="3"/>
        <v/>
      </c>
      <c r="J112" s="5"/>
    </row>
    <row r="113" spans="1:10">
      <c r="A113" s="9"/>
      <c r="B113" s="10" t="str">
        <f t="shared" si="2"/>
        <v/>
      </c>
      <c r="C113" s="5"/>
      <c r="D113" s="5"/>
      <c r="E113" s="5"/>
      <c r="F113" s="5"/>
      <c r="G113" s="6"/>
      <c r="H113" s="5"/>
      <c r="I113" s="14" t="str">
        <f t="shared" si="3"/>
        <v/>
      </c>
      <c r="J113" s="5"/>
    </row>
    <row r="114" spans="1:10">
      <c r="A114" s="9"/>
      <c r="B114" s="10" t="str">
        <f t="shared" si="2"/>
        <v/>
      </c>
      <c r="C114" s="5"/>
      <c r="D114" s="5"/>
      <c r="E114" s="5"/>
      <c r="F114" s="5"/>
      <c r="G114" s="6"/>
      <c r="H114" s="5"/>
      <c r="I114" s="14" t="str">
        <f t="shared" si="3"/>
        <v/>
      </c>
      <c r="J114" s="5"/>
    </row>
    <row r="115" spans="1:10">
      <c r="A115" s="9"/>
      <c r="B115" s="10" t="str">
        <f t="shared" si="2"/>
        <v/>
      </c>
      <c r="C115" s="5"/>
      <c r="D115" s="5"/>
      <c r="E115" s="5"/>
      <c r="F115" s="5"/>
      <c r="G115" s="6"/>
      <c r="H115" s="5"/>
      <c r="I115" s="14" t="str">
        <f t="shared" si="3"/>
        <v/>
      </c>
      <c r="J115" s="5"/>
    </row>
    <row r="116" spans="1:10">
      <c r="A116" s="9"/>
      <c r="B116" s="10" t="str">
        <f t="shared" si="2"/>
        <v/>
      </c>
      <c r="C116" s="5"/>
      <c r="D116" s="5"/>
      <c r="E116" s="5"/>
      <c r="F116" s="5"/>
      <c r="G116" s="6"/>
      <c r="H116" s="5"/>
      <c r="I116" s="14" t="str">
        <f t="shared" si="3"/>
        <v/>
      </c>
      <c r="J116" s="5"/>
    </row>
    <row r="117" spans="1:10">
      <c r="A117" s="9"/>
      <c r="B117" s="10" t="str">
        <f t="shared" si="2"/>
        <v/>
      </c>
      <c r="C117" s="5"/>
      <c r="D117" s="5"/>
      <c r="E117" s="5"/>
      <c r="F117" s="5"/>
      <c r="G117" s="6"/>
      <c r="H117" s="5"/>
      <c r="I117" s="14" t="str">
        <f t="shared" si="3"/>
        <v/>
      </c>
      <c r="J117" s="5"/>
    </row>
    <row r="118" spans="1:10">
      <c r="A118" s="9"/>
      <c r="B118" s="10" t="str">
        <f t="shared" si="2"/>
        <v/>
      </c>
      <c r="C118" s="5"/>
      <c r="D118" s="5"/>
      <c r="E118" s="5"/>
      <c r="F118" s="5"/>
      <c r="G118" s="6"/>
      <c r="H118" s="5"/>
      <c r="I118" s="14" t="str">
        <f t="shared" si="3"/>
        <v/>
      </c>
      <c r="J118" s="5"/>
    </row>
    <row r="119" spans="1:10">
      <c r="A119" s="9"/>
      <c r="B119" s="10" t="str">
        <f t="shared" si="2"/>
        <v/>
      </c>
      <c r="C119" s="5"/>
      <c r="D119" s="5"/>
      <c r="E119" s="5"/>
      <c r="F119" s="5"/>
      <c r="G119" s="6"/>
      <c r="H119" s="5"/>
      <c r="I119" s="14" t="str">
        <f t="shared" si="3"/>
        <v/>
      </c>
      <c r="J119" s="5"/>
    </row>
    <row r="120" spans="1:10">
      <c r="A120" s="9"/>
      <c r="B120" s="10" t="str">
        <f t="shared" si="2"/>
        <v/>
      </c>
      <c r="C120" s="5"/>
      <c r="D120" s="5"/>
      <c r="E120" s="5"/>
      <c r="F120" s="5"/>
      <c r="G120" s="6"/>
      <c r="H120" s="5"/>
      <c r="I120" s="14" t="str">
        <f t="shared" si="3"/>
        <v/>
      </c>
      <c r="J120" s="5"/>
    </row>
    <row r="121" spans="1:10">
      <c r="A121" s="9"/>
      <c r="B121" s="10" t="str">
        <f t="shared" si="2"/>
        <v/>
      </c>
      <c r="C121" s="5"/>
      <c r="D121" s="5"/>
      <c r="E121" s="5"/>
      <c r="F121" s="5"/>
      <c r="G121" s="6"/>
      <c r="H121" s="5"/>
      <c r="I121" s="14" t="str">
        <f t="shared" si="3"/>
        <v/>
      </c>
      <c r="J121" s="5"/>
    </row>
    <row r="122" spans="1:10">
      <c r="A122" s="9"/>
      <c r="B122" s="10" t="str">
        <f t="shared" si="2"/>
        <v/>
      </c>
      <c r="C122" s="5"/>
      <c r="D122" s="5"/>
      <c r="E122" s="5"/>
      <c r="F122" s="5"/>
      <c r="G122" s="6"/>
      <c r="H122" s="5"/>
      <c r="I122" s="14" t="str">
        <f t="shared" si="3"/>
        <v/>
      </c>
      <c r="J122" s="5"/>
    </row>
    <row r="123" spans="1:10">
      <c r="A123" s="9"/>
      <c r="B123" s="10" t="str">
        <f t="shared" si="2"/>
        <v/>
      </c>
      <c r="C123" s="5"/>
      <c r="D123" s="5"/>
      <c r="E123" s="5"/>
      <c r="F123" s="5"/>
      <c r="G123" s="6"/>
      <c r="H123" s="5"/>
      <c r="I123" s="14" t="str">
        <f t="shared" si="3"/>
        <v/>
      </c>
      <c r="J123" s="5"/>
    </row>
    <row r="124" spans="1:10">
      <c r="A124" s="9"/>
      <c r="B124" s="10" t="str">
        <f t="shared" si="2"/>
        <v/>
      </c>
      <c r="C124" s="5"/>
      <c r="D124" s="5"/>
      <c r="E124" s="5"/>
      <c r="F124" s="5"/>
      <c r="G124" s="6"/>
      <c r="H124" s="5"/>
      <c r="I124" s="14" t="str">
        <f t="shared" si="3"/>
        <v/>
      </c>
      <c r="J124" s="5"/>
    </row>
    <row r="125" spans="1:10">
      <c r="A125" s="9"/>
      <c r="B125" s="10" t="str">
        <f t="shared" si="2"/>
        <v/>
      </c>
      <c r="C125" s="5"/>
      <c r="D125" s="5"/>
      <c r="E125" s="5"/>
      <c r="F125" s="5"/>
      <c r="G125" s="6"/>
      <c r="H125" s="5"/>
      <c r="I125" s="14" t="str">
        <f t="shared" si="3"/>
        <v/>
      </c>
      <c r="J125" s="5"/>
    </row>
    <row r="126" spans="1:10">
      <c r="A126" s="9"/>
      <c r="B126" s="10" t="str">
        <f t="shared" si="2"/>
        <v/>
      </c>
      <c r="C126" s="5"/>
      <c r="D126" s="5"/>
      <c r="E126" s="5"/>
      <c r="F126" s="5"/>
      <c r="G126" s="6"/>
      <c r="H126" s="5"/>
      <c r="I126" s="14" t="str">
        <f t="shared" si="3"/>
        <v/>
      </c>
      <c r="J126" s="5"/>
    </row>
    <row r="127" spans="1:10">
      <c r="A127" s="9"/>
      <c r="B127" s="10" t="str">
        <f t="shared" si="2"/>
        <v/>
      </c>
      <c r="C127" s="5"/>
      <c r="D127" s="5"/>
      <c r="E127" s="5"/>
      <c r="F127" s="5"/>
      <c r="G127" s="6"/>
      <c r="H127" s="5"/>
      <c r="I127" s="14" t="str">
        <f t="shared" si="3"/>
        <v/>
      </c>
      <c r="J127" s="5"/>
    </row>
    <row r="128" spans="1:10">
      <c r="A128" s="9"/>
      <c r="B128" s="10" t="str">
        <f t="shared" si="2"/>
        <v/>
      </c>
      <c r="C128" s="5"/>
      <c r="D128" s="5"/>
      <c r="E128" s="5"/>
      <c r="F128" s="5"/>
      <c r="G128" s="6"/>
      <c r="H128" s="5"/>
      <c r="I128" s="14" t="str">
        <f t="shared" si="3"/>
        <v/>
      </c>
      <c r="J128" s="5"/>
    </row>
    <row r="129" spans="1:10">
      <c r="A129" s="9"/>
      <c r="B129" s="10" t="str">
        <f t="shared" si="2"/>
        <v/>
      </c>
      <c r="C129" s="5"/>
      <c r="D129" s="5"/>
      <c r="E129" s="5"/>
      <c r="F129" s="5"/>
      <c r="G129" s="6"/>
      <c r="H129" s="5"/>
      <c r="I129" s="14" t="str">
        <f t="shared" si="3"/>
        <v/>
      </c>
      <c r="J129" s="5"/>
    </row>
    <row r="130" spans="1:10">
      <c r="A130" s="9"/>
      <c r="B130" s="10" t="str">
        <f t="shared" ref="B130:B193" si="4">IF(A130="","",YEAR(A130)&amp;"/"&amp;RIGHT("0"&amp;MONTH(A130),2))</f>
        <v/>
      </c>
      <c r="C130" s="5"/>
      <c r="D130" s="5"/>
      <c r="E130" s="5"/>
      <c r="F130" s="5"/>
      <c r="G130" s="6"/>
      <c r="H130" s="5"/>
      <c r="I130" s="14" t="str">
        <f t="shared" ref="I130:I193" si="5">IF(OR(G130="",H130=""),"",G130*H130)</f>
        <v/>
      </c>
      <c r="J130" s="5"/>
    </row>
    <row r="131" spans="1:10">
      <c r="A131" s="9"/>
      <c r="B131" s="10" t="str">
        <f t="shared" si="4"/>
        <v/>
      </c>
      <c r="C131" s="5"/>
      <c r="D131" s="5"/>
      <c r="E131" s="5"/>
      <c r="F131" s="5"/>
      <c r="G131" s="6"/>
      <c r="H131" s="5"/>
      <c r="I131" s="14" t="str">
        <f t="shared" si="5"/>
        <v/>
      </c>
      <c r="J131" s="5"/>
    </row>
    <row r="132" spans="1:10">
      <c r="A132" s="9"/>
      <c r="B132" s="10" t="str">
        <f t="shared" si="4"/>
        <v/>
      </c>
      <c r="C132" s="5"/>
      <c r="D132" s="5"/>
      <c r="E132" s="5"/>
      <c r="F132" s="5"/>
      <c r="G132" s="6"/>
      <c r="H132" s="5"/>
      <c r="I132" s="14" t="str">
        <f t="shared" si="5"/>
        <v/>
      </c>
      <c r="J132" s="5"/>
    </row>
    <row r="133" spans="1:10">
      <c r="A133" s="9"/>
      <c r="B133" s="10" t="str">
        <f t="shared" si="4"/>
        <v/>
      </c>
      <c r="C133" s="5"/>
      <c r="D133" s="5"/>
      <c r="E133" s="5"/>
      <c r="F133" s="5"/>
      <c r="G133" s="6"/>
      <c r="H133" s="5"/>
      <c r="I133" s="14" t="str">
        <f t="shared" si="5"/>
        <v/>
      </c>
      <c r="J133" s="5"/>
    </row>
    <row r="134" spans="1:10">
      <c r="A134" s="9"/>
      <c r="B134" s="10" t="str">
        <f t="shared" si="4"/>
        <v/>
      </c>
      <c r="C134" s="5"/>
      <c r="D134" s="5"/>
      <c r="E134" s="5"/>
      <c r="F134" s="5"/>
      <c r="G134" s="6"/>
      <c r="H134" s="5"/>
      <c r="I134" s="14" t="str">
        <f t="shared" si="5"/>
        <v/>
      </c>
      <c r="J134" s="5"/>
    </row>
    <row r="135" spans="1:10">
      <c r="A135" s="9"/>
      <c r="B135" s="10" t="str">
        <f t="shared" si="4"/>
        <v/>
      </c>
      <c r="C135" s="5"/>
      <c r="D135" s="5"/>
      <c r="E135" s="5"/>
      <c r="F135" s="5"/>
      <c r="G135" s="6"/>
      <c r="H135" s="5"/>
      <c r="I135" s="14" t="str">
        <f t="shared" si="5"/>
        <v/>
      </c>
      <c r="J135" s="5"/>
    </row>
    <row r="136" spans="1:10">
      <c r="A136" s="9"/>
      <c r="B136" s="10" t="str">
        <f t="shared" si="4"/>
        <v/>
      </c>
      <c r="C136" s="5"/>
      <c r="D136" s="5"/>
      <c r="E136" s="5"/>
      <c r="F136" s="5"/>
      <c r="G136" s="6"/>
      <c r="H136" s="5"/>
      <c r="I136" s="14" t="str">
        <f t="shared" si="5"/>
        <v/>
      </c>
      <c r="J136" s="5"/>
    </row>
    <row r="137" spans="1:10">
      <c r="A137" s="9"/>
      <c r="B137" s="10" t="str">
        <f t="shared" si="4"/>
        <v/>
      </c>
      <c r="C137" s="5"/>
      <c r="D137" s="5"/>
      <c r="E137" s="5"/>
      <c r="F137" s="5"/>
      <c r="G137" s="6"/>
      <c r="H137" s="5"/>
      <c r="I137" s="14" t="str">
        <f t="shared" si="5"/>
        <v/>
      </c>
      <c r="J137" s="5"/>
    </row>
    <row r="138" spans="1:10">
      <c r="A138" s="9"/>
      <c r="B138" s="10" t="str">
        <f t="shared" si="4"/>
        <v/>
      </c>
      <c r="C138" s="5"/>
      <c r="D138" s="5"/>
      <c r="E138" s="5"/>
      <c r="F138" s="5"/>
      <c r="G138" s="6"/>
      <c r="H138" s="5"/>
      <c r="I138" s="14" t="str">
        <f t="shared" si="5"/>
        <v/>
      </c>
      <c r="J138" s="5"/>
    </row>
    <row r="139" spans="1:10">
      <c r="A139" s="9"/>
      <c r="B139" s="10" t="str">
        <f t="shared" si="4"/>
        <v/>
      </c>
      <c r="C139" s="5"/>
      <c r="D139" s="5"/>
      <c r="E139" s="5"/>
      <c r="F139" s="5"/>
      <c r="G139" s="6"/>
      <c r="H139" s="5"/>
      <c r="I139" s="14" t="str">
        <f t="shared" si="5"/>
        <v/>
      </c>
      <c r="J139" s="5"/>
    </row>
    <row r="140" spans="1:10">
      <c r="A140" s="9"/>
      <c r="B140" s="10" t="str">
        <f t="shared" si="4"/>
        <v/>
      </c>
      <c r="C140" s="5"/>
      <c r="D140" s="5"/>
      <c r="E140" s="5"/>
      <c r="F140" s="5"/>
      <c r="G140" s="6"/>
      <c r="H140" s="5"/>
      <c r="I140" s="14" t="str">
        <f t="shared" si="5"/>
        <v/>
      </c>
      <c r="J140" s="5"/>
    </row>
    <row r="141" spans="1:10">
      <c r="A141" s="9"/>
      <c r="B141" s="10" t="str">
        <f t="shared" si="4"/>
        <v/>
      </c>
      <c r="C141" s="5"/>
      <c r="D141" s="5"/>
      <c r="E141" s="5"/>
      <c r="F141" s="5"/>
      <c r="G141" s="6"/>
      <c r="H141" s="5"/>
      <c r="I141" s="14" t="str">
        <f t="shared" si="5"/>
        <v/>
      </c>
      <c r="J141" s="5"/>
    </row>
    <row r="142" spans="1:10">
      <c r="A142" s="9"/>
      <c r="B142" s="10" t="str">
        <f t="shared" si="4"/>
        <v/>
      </c>
      <c r="C142" s="5"/>
      <c r="D142" s="5"/>
      <c r="E142" s="5"/>
      <c r="F142" s="5"/>
      <c r="G142" s="6"/>
      <c r="H142" s="5"/>
      <c r="I142" s="14" t="str">
        <f t="shared" si="5"/>
        <v/>
      </c>
      <c r="J142" s="5"/>
    </row>
    <row r="143" spans="1:10">
      <c r="A143" s="9"/>
      <c r="B143" s="10" t="str">
        <f t="shared" si="4"/>
        <v/>
      </c>
      <c r="C143" s="5"/>
      <c r="D143" s="5"/>
      <c r="E143" s="5"/>
      <c r="F143" s="5"/>
      <c r="G143" s="6"/>
      <c r="H143" s="5"/>
      <c r="I143" s="14" t="str">
        <f t="shared" si="5"/>
        <v/>
      </c>
      <c r="J143" s="5"/>
    </row>
    <row r="144" spans="1:10">
      <c r="A144" s="9"/>
      <c r="B144" s="10" t="str">
        <f t="shared" si="4"/>
        <v/>
      </c>
      <c r="C144" s="5"/>
      <c r="D144" s="5"/>
      <c r="E144" s="5"/>
      <c r="F144" s="5"/>
      <c r="G144" s="6"/>
      <c r="H144" s="5"/>
      <c r="I144" s="14" t="str">
        <f t="shared" si="5"/>
        <v/>
      </c>
      <c r="J144" s="5"/>
    </row>
    <row r="145" spans="1:10">
      <c r="A145" s="9"/>
      <c r="B145" s="10" t="str">
        <f t="shared" si="4"/>
        <v/>
      </c>
      <c r="C145" s="5"/>
      <c r="D145" s="5"/>
      <c r="E145" s="5"/>
      <c r="F145" s="5"/>
      <c r="G145" s="6"/>
      <c r="H145" s="5"/>
      <c r="I145" s="14" t="str">
        <f t="shared" si="5"/>
        <v/>
      </c>
      <c r="J145" s="5"/>
    </row>
    <row r="146" spans="1:10">
      <c r="A146" s="9"/>
      <c r="B146" s="10" t="str">
        <f t="shared" si="4"/>
        <v/>
      </c>
      <c r="C146" s="5"/>
      <c r="D146" s="5"/>
      <c r="E146" s="5"/>
      <c r="F146" s="5"/>
      <c r="G146" s="6"/>
      <c r="H146" s="5"/>
      <c r="I146" s="14" t="str">
        <f t="shared" si="5"/>
        <v/>
      </c>
      <c r="J146" s="5"/>
    </row>
    <row r="147" spans="1:10">
      <c r="A147" s="9"/>
      <c r="B147" s="10" t="str">
        <f t="shared" si="4"/>
        <v/>
      </c>
      <c r="C147" s="5"/>
      <c r="D147" s="5"/>
      <c r="E147" s="5"/>
      <c r="F147" s="5"/>
      <c r="G147" s="6"/>
      <c r="H147" s="5"/>
      <c r="I147" s="14" t="str">
        <f t="shared" si="5"/>
        <v/>
      </c>
      <c r="J147" s="5"/>
    </row>
    <row r="148" spans="1:10">
      <c r="A148" s="9"/>
      <c r="B148" s="10" t="str">
        <f t="shared" si="4"/>
        <v/>
      </c>
      <c r="C148" s="5"/>
      <c r="D148" s="5"/>
      <c r="E148" s="5"/>
      <c r="F148" s="5"/>
      <c r="G148" s="6"/>
      <c r="H148" s="5"/>
      <c r="I148" s="14" t="str">
        <f t="shared" si="5"/>
        <v/>
      </c>
      <c r="J148" s="5"/>
    </row>
    <row r="149" spans="1:10">
      <c r="A149" s="9"/>
      <c r="B149" s="10" t="str">
        <f t="shared" si="4"/>
        <v/>
      </c>
      <c r="C149" s="5"/>
      <c r="D149" s="5"/>
      <c r="E149" s="5"/>
      <c r="F149" s="5"/>
      <c r="G149" s="6"/>
      <c r="H149" s="5"/>
      <c r="I149" s="14" t="str">
        <f t="shared" si="5"/>
        <v/>
      </c>
      <c r="J149" s="5"/>
    </row>
    <row r="150" spans="1:10">
      <c r="A150" s="9"/>
      <c r="B150" s="10" t="str">
        <f t="shared" si="4"/>
        <v/>
      </c>
      <c r="C150" s="5"/>
      <c r="D150" s="5"/>
      <c r="E150" s="5"/>
      <c r="F150" s="5"/>
      <c r="G150" s="6"/>
      <c r="H150" s="5"/>
      <c r="I150" s="14" t="str">
        <f t="shared" si="5"/>
        <v/>
      </c>
      <c r="J150" s="5"/>
    </row>
    <row r="151" spans="1:10">
      <c r="A151" s="9"/>
      <c r="B151" s="10" t="str">
        <f t="shared" si="4"/>
        <v/>
      </c>
      <c r="C151" s="5"/>
      <c r="D151" s="5"/>
      <c r="E151" s="5"/>
      <c r="F151" s="5"/>
      <c r="G151" s="6"/>
      <c r="H151" s="5"/>
      <c r="I151" s="14" t="str">
        <f t="shared" si="5"/>
        <v/>
      </c>
      <c r="J151" s="5"/>
    </row>
    <row r="152" spans="1:10">
      <c r="A152" s="9"/>
      <c r="B152" s="10" t="str">
        <f t="shared" si="4"/>
        <v/>
      </c>
      <c r="C152" s="5"/>
      <c r="D152" s="5"/>
      <c r="E152" s="5"/>
      <c r="F152" s="5"/>
      <c r="G152" s="6"/>
      <c r="H152" s="5"/>
      <c r="I152" s="14" t="str">
        <f t="shared" si="5"/>
        <v/>
      </c>
      <c r="J152" s="5"/>
    </row>
    <row r="153" spans="1:10">
      <c r="A153" s="9"/>
      <c r="B153" s="10" t="str">
        <f t="shared" si="4"/>
        <v/>
      </c>
      <c r="C153" s="5"/>
      <c r="D153" s="5"/>
      <c r="E153" s="5"/>
      <c r="F153" s="5"/>
      <c r="G153" s="6"/>
      <c r="H153" s="5"/>
      <c r="I153" s="14" t="str">
        <f t="shared" si="5"/>
        <v/>
      </c>
      <c r="J153" s="5"/>
    </row>
    <row r="154" spans="1:10">
      <c r="A154" s="9"/>
      <c r="B154" s="10" t="str">
        <f t="shared" si="4"/>
        <v/>
      </c>
      <c r="C154" s="5"/>
      <c r="D154" s="5"/>
      <c r="E154" s="5"/>
      <c r="F154" s="5"/>
      <c r="G154" s="6"/>
      <c r="H154" s="5"/>
      <c r="I154" s="14" t="str">
        <f t="shared" si="5"/>
        <v/>
      </c>
      <c r="J154" s="5"/>
    </row>
    <row r="155" spans="1:10">
      <c r="A155" s="9"/>
      <c r="B155" s="10" t="str">
        <f t="shared" si="4"/>
        <v/>
      </c>
      <c r="C155" s="5"/>
      <c r="D155" s="5"/>
      <c r="E155" s="5"/>
      <c r="F155" s="5"/>
      <c r="G155" s="6"/>
      <c r="H155" s="5"/>
      <c r="I155" s="14" t="str">
        <f t="shared" si="5"/>
        <v/>
      </c>
      <c r="J155" s="5"/>
    </row>
    <row r="156" spans="1:10">
      <c r="A156" s="9"/>
      <c r="B156" s="10" t="str">
        <f t="shared" si="4"/>
        <v/>
      </c>
      <c r="C156" s="5"/>
      <c r="D156" s="5"/>
      <c r="E156" s="5"/>
      <c r="F156" s="5"/>
      <c r="G156" s="6"/>
      <c r="H156" s="5"/>
      <c r="I156" s="14" t="str">
        <f t="shared" si="5"/>
        <v/>
      </c>
      <c r="J156" s="5"/>
    </row>
    <row r="157" spans="1:10">
      <c r="A157" s="9"/>
      <c r="B157" s="10" t="str">
        <f t="shared" si="4"/>
        <v/>
      </c>
      <c r="C157" s="5"/>
      <c r="D157" s="5"/>
      <c r="E157" s="5"/>
      <c r="F157" s="5"/>
      <c r="G157" s="6"/>
      <c r="H157" s="5"/>
      <c r="I157" s="14" t="str">
        <f t="shared" si="5"/>
        <v/>
      </c>
      <c r="J157" s="5"/>
    </row>
    <row r="158" spans="1:10">
      <c r="A158" s="9"/>
      <c r="B158" s="10" t="str">
        <f t="shared" si="4"/>
        <v/>
      </c>
      <c r="C158" s="5"/>
      <c r="D158" s="5"/>
      <c r="E158" s="5"/>
      <c r="F158" s="5"/>
      <c r="G158" s="6"/>
      <c r="H158" s="5"/>
      <c r="I158" s="14" t="str">
        <f t="shared" si="5"/>
        <v/>
      </c>
      <c r="J158" s="5"/>
    </row>
    <row r="159" spans="1:10">
      <c r="A159" s="9"/>
      <c r="B159" s="10" t="str">
        <f t="shared" si="4"/>
        <v/>
      </c>
      <c r="C159" s="5"/>
      <c r="D159" s="5"/>
      <c r="E159" s="5"/>
      <c r="F159" s="5"/>
      <c r="G159" s="6"/>
      <c r="H159" s="5"/>
      <c r="I159" s="14" t="str">
        <f t="shared" si="5"/>
        <v/>
      </c>
      <c r="J159" s="5"/>
    </row>
    <row r="160" spans="1:10">
      <c r="A160" s="9"/>
      <c r="B160" s="10" t="str">
        <f t="shared" si="4"/>
        <v/>
      </c>
      <c r="C160" s="5"/>
      <c r="D160" s="5"/>
      <c r="E160" s="5"/>
      <c r="F160" s="5"/>
      <c r="G160" s="6"/>
      <c r="H160" s="5"/>
      <c r="I160" s="14" t="str">
        <f t="shared" si="5"/>
        <v/>
      </c>
      <c r="J160" s="5"/>
    </row>
    <row r="161" spans="1:10">
      <c r="A161" s="9"/>
      <c r="B161" s="10" t="str">
        <f t="shared" si="4"/>
        <v/>
      </c>
      <c r="C161" s="5"/>
      <c r="D161" s="5"/>
      <c r="E161" s="5"/>
      <c r="F161" s="5"/>
      <c r="G161" s="6"/>
      <c r="H161" s="5"/>
      <c r="I161" s="14" t="str">
        <f t="shared" si="5"/>
        <v/>
      </c>
      <c r="J161" s="5"/>
    </row>
    <row r="162" spans="1:10">
      <c r="A162" s="9"/>
      <c r="B162" s="10" t="str">
        <f t="shared" si="4"/>
        <v/>
      </c>
      <c r="C162" s="5"/>
      <c r="D162" s="5"/>
      <c r="E162" s="5"/>
      <c r="F162" s="5"/>
      <c r="G162" s="6"/>
      <c r="H162" s="5"/>
      <c r="I162" s="14" t="str">
        <f t="shared" si="5"/>
        <v/>
      </c>
      <c r="J162" s="5"/>
    </row>
    <row r="163" spans="1:10">
      <c r="A163" s="9"/>
      <c r="B163" s="10" t="str">
        <f t="shared" si="4"/>
        <v/>
      </c>
      <c r="C163" s="5"/>
      <c r="D163" s="5"/>
      <c r="E163" s="5"/>
      <c r="F163" s="5"/>
      <c r="G163" s="6"/>
      <c r="H163" s="5"/>
      <c r="I163" s="14" t="str">
        <f t="shared" si="5"/>
        <v/>
      </c>
      <c r="J163" s="5"/>
    </row>
    <row r="164" spans="1:10">
      <c r="A164" s="9"/>
      <c r="B164" s="10" t="str">
        <f t="shared" si="4"/>
        <v/>
      </c>
      <c r="C164" s="5"/>
      <c r="D164" s="5"/>
      <c r="E164" s="5"/>
      <c r="F164" s="5"/>
      <c r="G164" s="6"/>
      <c r="H164" s="5"/>
      <c r="I164" s="14" t="str">
        <f t="shared" si="5"/>
        <v/>
      </c>
      <c r="J164" s="5"/>
    </row>
    <row r="165" spans="1:10">
      <c r="A165" s="9"/>
      <c r="B165" s="10" t="str">
        <f t="shared" si="4"/>
        <v/>
      </c>
      <c r="C165" s="5"/>
      <c r="D165" s="5"/>
      <c r="E165" s="5"/>
      <c r="F165" s="5"/>
      <c r="G165" s="6"/>
      <c r="H165" s="5"/>
      <c r="I165" s="14" t="str">
        <f t="shared" si="5"/>
        <v/>
      </c>
      <c r="J165" s="5"/>
    </row>
    <row r="166" spans="1:10">
      <c r="A166" s="9"/>
      <c r="B166" s="10" t="str">
        <f t="shared" si="4"/>
        <v/>
      </c>
      <c r="C166" s="5"/>
      <c r="D166" s="5"/>
      <c r="E166" s="5"/>
      <c r="F166" s="5"/>
      <c r="G166" s="6"/>
      <c r="H166" s="5"/>
      <c r="I166" s="14" t="str">
        <f t="shared" si="5"/>
        <v/>
      </c>
      <c r="J166" s="5"/>
    </row>
    <row r="167" spans="1:10">
      <c r="A167" s="9"/>
      <c r="B167" s="10" t="str">
        <f t="shared" si="4"/>
        <v/>
      </c>
      <c r="C167" s="5"/>
      <c r="D167" s="5"/>
      <c r="E167" s="5"/>
      <c r="F167" s="5"/>
      <c r="G167" s="6"/>
      <c r="H167" s="5"/>
      <c r="I167" s="14" t="str">
        <f t="shared" si="5"/>
        <v/>
      </c>
      <c r="J167" s="5"/>
    </row>
    <row r="168" spans="1:10">
      <c r="A168" s="9"/>
      <c r="B168" s="10" t="str">
        <f t="shared" si="4"/>
        <v/>
      </c>
      <c r="C168" s="5"/>
      <c r="D168" s="5"/>
      <c r="E168" s="5"/>
      <c r="F168" s="5"/>
      <c r="G168" s="6"/>
      <c r="H168" s="5"/>
      <c r="I168" s="14" t="str">
        <f t="shared" si="5"/>
        <v/>
      </c>
      <c r="J168" s="5"/>
    </row>
    <row r="169" spans="1:10">
      <c r="A169" s="9"/>
      <c r="B169" s="10" t="str">
        <f t="shared" si="4"/>
        <v/>
      </c>
      <c r="C169" s="5"/>
      <c r="D169" s="5"/>
      <c r="E169" s="5"/>
      <c r="F169" s="5"/>
      <c r="G169" s="6"/>
      <c r="H169" s="5"/>
      <c r="I169" s="14" t="str">
        <f t="shared" si="5"/>
        <v/>
      </c>
      <c r="J169" s="5"/>
    </row>
    <row r="170" spans="1:10">
      <c r="A170" s="9"/>
      <c r="B170" s="10" t="str">
        <f t="shared" si="4"/>
        <v/>
      </c>
      <c r="C170" s="5"/>
      <c r="D170" s="5"/>
      <c r="E170" s="5"/>
      <c r="F170" s="5"/>
      <c r="G170" s="6"/>
      <c r="H170" s="5"/>
      <c r="I170" s="14" t="str">
        <f t="shared" si="5"/>
        <v/>
      </c>
      <c r="J170" s="5"/>
    </row>
    <row r="171" spans="1:10">
      <c r="A171" s="9"/>
      <c r="B171" s="10" t="str">
        <f t="shared" si="4"/>
        <v/>
      </c>
      <c r="C171" s="5"/>
      <c r="D171" s="5"/>
      <c r="E171" s="5"/>
      <c r="F171" s="5"/>
      <c r="G171" s="6"/>
      <c r="H171" s="5"/>
      <c r="I171" s="14" t="str">
        <f t="shared" si="5"/>
        <v/>
      </c>
      <c r="J171" s="5"/>
    </row>
    <row r="172" spans="1:10">
      <c r="A172" s="9"/>
      <c r="B172" s="10" t="str">
        <f t="shared" si="4"/>
        <v/>
      </c>
      <c r="C172" s="5"/>
      <c r="D172" s="5"/>
      <c r="E172" s="5"/>
      <c r="F172" s="5"/>
      <c r="G172" s="6"/>
      <c r="H172" s="5"/>
      <c r="I172" s="14" t="str">
        <f t="shared" si="5"/>
        <v/>
      </c>
      <c r="J172" s="5"/>
    </row>
    <row r="173" spans="1:10">
      <c r="A173" s="9"/>
      <c r="B173" s="10" t="str">
        <f t="shared" si="4"/>
        <v/>
      </c>
      <c r="C173" s="5"/>
      <c r="D173" s="5"/>
      <c r="E173" s="5"/>
      <c r="F173" s="5"/>
      <c r="G173" s="6"/>
      <c r="H173" s="5"/>
      <c r="I173" s="14" t="str">
        <f t="shared" si="5"/>
        <v/>
      </c>
      <c r="J173" s="5"/>
    </row>
    <row r="174" spans="1:10">
      <c r="A174" s="9"/>
      <c r="B174" s="10" t="str">
        <f t="shared" si="4"/>
        <v/>
      </c>
      <c r="C174" s="5"/>
      <c r="D174" s="5"/>
      <c r="E174" s="5"/>
      <c r="F174" s="5"/>
      <c r="G174" s="6"/>
      <c r="H174" s="5"/>
      <c r="I174" s="14" t="str">
        <f t="shared" si="5"/>
        <v/>
      </c>
      <c r="J174" s="5"/>
    </row>
    <row r="175" spans="1:10">
      <c r="A175" s="9"/>
      <c r="B175" s="10" t="str">
        <f t="shared" si="4"/>
        <v/>
      </c>
      <c r="C175" s="5"/>
      <c r="D175" s="5"/>
      <c r="E175" s="5"/>
      <c r="F175" s="5"/>
      <c r="G175" s="6"/>
      <c r="H175" s="5"/>
      <c r="I175" s="14" t="str">
        <f t="shared" si="5"/>
        <v/>
      </c>
      <c r="J175" s="5"/>
    </row>
    <row r="176" spans="1:10">
      <c r="A176" s="9"/>
      <c r="B176" s="10" t="str">
        <f t="shared" si="4"/>
        <v/>
      </c>
      <c r="C176" s="5"/>
      <c r="D176" s="5"/>
      <c r="E176" s="5"/>
      <c r="F176" s="5"/>
      <c r="G176" s="6"/>
      <c r="H176" s="5"/>
      <c r="I176" s="14" t="str">
        <f t="shared" si="5"/>
        <v/>
      </c>
      <c r="J176" s="5"/>
    </row>
    <row r="177" spans="1:10">
      <c r="A177" s="9"/>
      <c r="B177" s="10" t="str">
        <f t="shared" si="4"/>
        <v/>
      </c>
      <c r="C177" s="5"/>
      <c r="D177" s="5"/>
      <c r="E177" s="5"/>
      <c r="F177" s="5"/>
      <c r="G177" s="6"/>
      <c r="H177" s="5"/>
      <c r="I177" s="14" t="str">
        <f t="shared" si="5"/>
        <v/>
      </c>
      <c r="J177" s="5"/>
    </row>
    <row r="178" spans="1:10">
      <c r="A178" s="9"/>
      <c r="B178" s="10" t="str">
        <f t="shared" si="4"/>
        <v/>
      </c>
      <c r="C178" s="5"/>
      <c r="D178" s="5"/>
      <c r="E178" s="5"/>
      <c r="F178" s="5"/>
      <c r="G178" s="6"/>
      <c r="H178" s="5"/>
      <c r="I178" s="14" t="str">
        <f t="shared" si="5"/>
        <v/>
      </c>
      <c r="J178" s="5"/>
    </row>
    <row r="179" spans="1:10">
      <c r="A179" s="9"/>
      <c r="B179" s="10" t="str">
        <f t="shared" si="4"/>
        <v/>
      </c>
      <c r="C179" s="5"/>
      <c r="D179" s="5"/>
      <c r="E179" s="5"/>
      <c r="F179" s="5"/>
      <c r="G179" s="6"/>
      <c r="H179" s="5"/>
      <c r="I179" s="14" t="str">
        <f t="shared" si="5"/>
        <v/>
      </c>
      <c r="J179" s="5"/>
    </row>
    <row r="180" spans="1:10">
      <c r="A180" s="9"/>
      <c r="B180" s="10" t="str">
        <f t="shared" si="4"/>
        <v/>
      </c>
      <c r="C180" s="5"/>
      <c r="D180" s="5"/>
      <c r="E180" s="5"/>
      <c r="F180" s="5"/>
      <c r="G180" s="6"/>
      <c r="H180" s="5"/>
      <c r="I180" s="14" t="str">
        <f t="shared" si="5"/>
        <v/>
      </c>
      <c r="J180" s="5"/>
    </row>
    <row r="181" spans="1:10">
      <c r="A181" s="9"/>
      <c r="B181" s="10" t="str">
        <f t="shared" si="4"/>
        <v/>
      </c>
      <c r="C181" s="5"/>
      <c r="D181" s="5"/>
      <c r="E181" s="5"/>
      <c r="F181" s="5"/>
      <c r="G181" s="6"/>
      <c r="H181" s="5"/>
      <c r="I181" s="14" t="str">
        <f t="shared" si="5"/>
        <v/>
      </c>
      <c r="J181" s="5"/>
    </row>
    <row r="182" spans="1:10">
      <c r="A182" s="9"/>
      <c r="B182" s="10" t="str">
        <f t="shared" si="4"/>
        <v/>
      </c>
      <c r="C182" s="5"/>
      <c r="D182" s="5"/>
      <c r="E182" s="5"/>
      <c r="F182" s="5"/>
      <c r="G182" s="6"/>
      <c r="H182" s="5"/>
      <c r="I182" s="14" t="str">
        <f t="shared" si="5"/>
        <v/>
      </c>
      <c r="J182" s="5"/>
    </row>
    <row r="183" spans="1:10">
      <c r="A183" s="9"/>
      <c r="B183" s="10" t="str">
        <f t="shared" si="4"/>
        <v/>
      </c>
      <c r="C183" s="5"/>
      <c r="D183" s="5"/>
      <c r="E183" s="5"/>
      <c r="F183" s="5"/>
      <c r="G183" s="6"/>
      <c r="H183" s="5"/>
      <c r="I183" s="14" t="str">
        <f t="shared" si="5"/>
        <v/>
      </c>
      <c r="J183" s="5"/>
    </row>
    <row r="184" spans="1:10">
      <c r="A184" s="9"/>
      <c r="B184" s="10" t="str">
        <f t="shared" si="4"/>
        <v/>
      </c>
      <c r="C184" s="5"/>
      <c r="D184" s="5"/>
      <c r="E184" s="5"/>
      <c r="F184" s="5"/>
      <c r="G184" s="6"/>
      <c r="H184" s="5"/>
      <c r="I184" s="14" t="str">
        <f t="shared" si="5"/>
        <v/>
      </c>
      <c r="J184" s="5"/>
    </row>
    <row r="185" spans="1:10">
      <c r="A185" s="9"/>
      <c r="B185" s="10" t="str">
        <f t="shared" si="4"/>
        <v/>
      </c>
      <c r="C185" s="5"/>
      <c r="D185" s="5"/>
      <c r="E185" s="5"/>
      <c r="F185" s="5"/>
      <c r="G185" s="6"/>
      <c r="H185" s="5"/>
      <c r="I185" s="14" t="str">
        <f t="shared" si="5"/>
        <v/>
      </c>
      <c r="J185" s="5"/>
    </row>
    <row r="186" spans="1:10">
      <c r="A186" s="9"/>
      <c r="B186" s="10" t="str">
        <f t="shared" si="4"/>
        <v/>
      </c>
      <c r="C186" s="5"/>
      <c r="D186" s="5"/>
      <c r="E186" s="5"/>
      <c r="F186" s="5"/>
      <c r="G186" s="6"/>
      <c r="H186" s="5"/>
      <c r="I186" s="14" t="str">
        <f t="shared" si="5"/>
        <v/>
      </c>
      <c r="J186" s="5"/>
    </row>
    <row r="187" spans="1:10">
      <c r="A187" s="9"/>
      <c r="B187" s="10" t="str">
        <f t="shared" si="4"/>
        <v/>
      </c>
      <c r="C187" s="5"/>
      <c r="D187" s="5"/>
      <c r="E187" s="5"/>
      <c r="F187" s="5"/>
      <c r="G187" s="6"/>
      <c r="H187" s="5"/>
      <c r="I187" s="14" t="str">
        <f t="shared" si="5"/>
        <v/>
      </c>
      <c r="J187" s="5"/>
    </row>
    <row r="188" spans="1:10">
      <c r="A188" s="9"/>
      <c r="B188" s="10" t="str">
        <f t="shared" si="4"/>
        <v/>
      </c>
      <c r="C188" s="5"/>
      <c r="D188" s="5"/>
      <c r="E188" s="5"/>
      <c r="F188" s="5"/>
      <c r="G188" s="6"/>
      <c r="H188" s="5"/>
      <c r="I188" s="14" t="str">
        <f t="shared" si="5"/>
        <v/>
      </c>
      <c r="J188" s="5"/>
    </row>
    <row r="189" spans="1:10">
      <c r="A189" s="9"/>
      <c r="B189" s="10" t="str">
        <f t="shared" si="4"/>
        <v/>
      </c>
      <c r="C189" s="5"/>
      <c r="D189" s="5"/>
      <c r="E189" s="5"/>
      <c r="F189" s="5"/>
      <c r="G189" s="6"/>
      <c r="H189" s="5"/>
      <c r="I189" s="14" t="str">
        <f t="shared" si="5"/>
        <v/>
      </c>
      <c r="J189" s="5"/>
    </row>
    <row r="190" spans="1:10">
      <c r="A190" s="9"/>
      <c r="B190" s="10" t="str">
        <f t="shared" si="4"/>
        <v/>
      </c>
      <c r="C190" s="5"/>
      <c r="D190" s="5"/>
      <c r="E190" s="5"/>
      <c r="F190" s="5"/>
      <c r="G190" s="6"/>
      <c r="H190" s="5"/>
      <c r="I190" s="14" t="str">
        <f t="shared" si="5"/>
        <v/>
      </c>
      <c r="J190" s="5"/>
    </row>
    <row r="191" spans="1:10">
      <c r="A191" s="9"/>
      <c r="B191" s="10" t="str">
        <f t="shared" si="4"/>
        <v/>
      </c>
      <c r="C191" s="5"/>
      <c r="D191" s="5"/>
      <c r="E191" s="5"/>
      <c r="F191" s="5"/>
      <c r="G191" s="6"/>
      <c r="H191" s="5"/>
      <c r="I191" s="14" t="str">
        <f t="shared" si="5"/>
        <v/>
      </c>
      <c r="J191" s="5"/>
    </row>
    <row r="192" spans="1:10">
      <c r="A192" s="9"/>
      <c r="B192" s="10" t="str">
        <f t="shared" si="4"/>
        <v/>
      </c>
      <c r="C192" s="5"/>
      <c r="D192" s="5"/>
      <c r="E192" s="5"/>
      <c r="F192" s="5"/>
      <c r="G192" s="6"/>
      <c r="H192" s="5"/>
      <c r="I192" s="14" t="str">
        <f t="shared" si="5"/>
        <v/>
      </c>
      <c r="J192" s="5"/>
    </row>
    <row r="193" spans="1:10">
      <c r="A193" s="9"/>
      <c r="B193" s="10" t="str">
        <f t="shared" si="4"/>
        <v/>
      </c>
      <c r="C193" s="5"/>
      <c r="D193" s="5"/>
      <c r="E193" s="5"/>
      <c r="F193" s="5"/>
      <c r="G193" s="6"/>
      <c r="H193" s="5"/>
      <c r="I193" s="14" t="str">
        <f t="shared" si="5"/>
        <v/>
      </c>
      <c r="J193" s="5"/>
    </row>
    <row r="194" spans="1:10">
      <c r="A194" s="9"/>
      <c r="B194" s="10" t="str">
        <f t="shared" ref="B194:B257" si="6">IF(A194="","",YEAR(A194)&amp;"/"&amp;RIGHT("0"&amp;MONTH(A194),2))</f>
        <v/>
      </c>
      <c r="C194" s="5"/>
      <c r="D194" s="5"/>
      <c r="E194" s="5"/>
      <c r="F194" s="5"/>
      <c r="G194" s="6"/>
      <c r="H194" s="5"/>
      <c r="I194" s="14" t="str">
        <f t="shared" ref="I194:I257" si="7">IF(OR(G194="",H194=""),"",G194*H194)</f>
        <v/>
      </c>
      <c r="J194" s="5"/>
    </row>
    <row r="195" spans="1:10">
      <c r="A195" s="9"/>
      <c r="B195" s="10" t="str">
        <f t="shared" si="6"/>
        <v/>
      </c>
      <c r="C195" s="5"/>
      <c r="D195" s="5"/>
      <c r="E195" s="5"/>
      <c r="F195" s="5"/>
      <c r="G195" s="6"/>
      <c r="H195" s="5"/>
      <c r="I195" s="14" t="str">
        <f t="shared" si="7"/>
        <v/>
      </c>
      <c r="J195" s="5"/>
    </row>
    <row r="196" spans="1:10">
      <c r="A196" s="9"/>
      <c r="B196" s="10" t="str">
        <f t="shared" si="6"/>
        <v/>
      </c>
      <c r="C196" s="5"/>
      <c r="D196" s="5"/>
      <c r="E196" s="5"/>
      <c r="F196" s="5"/>
      <c r="G196" s="6"/>
      <c r="H196" s="5"/>
      <c r="I196" s="14" t="str">
        <f t="shared" si="7"/>
        <v/>
      </c>
      <c r="J196" s="5"/>
    </row>
    <row r="197" spans="1:10">
      <c r="A197" s="9"/>
      <c r="B197" s="10" t="str">
        <f t="shared" si="6"/>
        <v/>
      </c>
      <c r="C197" s="5"/>
      <c r="D197" s="5"/>
      <c r="E197" s="5"/>
      <c r="F197" s="5"/>
      <c r="G197" s="6"/>
      <c r="H197" s="5"/>
      <c r="I197" s="14" t="str">
        <f t="shared" si="7"/>
        <v/>
      </c>
      <c r="J197" s="5"/>
    </row>
    <row r="198" spans="1:10">
      <c r="A198" s="9"/>
      <c r="B198" s="10" t="str">
        <f t="shared" si="6"/>
        <v/>
      </c>
      <c r="C198" s="5"/>
      <c r="D198" s="5"/>
      <c r="E198" s="5"/>
      <c r="F198" s="5"/>
      <c r="G198" s="6"/>
      <c r="H198" s="5"/>
      <c r="I198" s="14" t="str">
        <f t="shared" si="7"/>
        <v/>
      </c>
      <c r="J198" s="5"/>
    </row>
    <row r="199" spans="1:10">
      <c r="A199" s="9"/>
      <c r="B199" s="10" t="str">
        <f t="shared" si="6"/>
        <v/>
      </c>
      <c r="C199" s="5"/>
      <c r="D199" s="5"/>
      <c r="E199" s="5"/>
      <c r="F199" s="5"/>
      <c r="G199" s="6"/>
      <c r="H199" s="5"/>
      <c r="I199" s="14" t="str">
        <f t="shared" si="7"/>
        <v/>
      </c>
      <c r="J199" s="5"/>
    </row>
    <row r="200" spans="1:10">
      <c r="A200" s="9"/>
      <c r="B200" s="10" t="str">
        <f t="shared" si="6"/>
        <v/>
      </c>
      <c r="C200" s="5"/>
      <c r="D200" s="5"/>
      <c r="E200" s="5"/>
      <c r="F200" s="5"/>
      <c r="G200" s="6"/>
      <c r="H200" s="5"/>
      <c r="I200" s="14" t="str">
        <f t="shared" si="7"/>
        <v/>
      </c>
      <c r="J200" s="5"/>
    </row>
    <row r="201" spans="1:10">
      <c r="A201" s="9"/>
      <c r="B201" s="10" t="str">
        <f t="shared" si="6"/>
        <v/>
      </c>
      <c r="C201" s="5"/>
      <c r="D201" s="5"/>
      <c r="E201" s="5"/>
      <c r="F201" s="5"/>
      <c r="G201" s="6"/>
      <c r="H201" s="5"/>
      <c r="I201" s="14" t="str">
        <f t="shared" si="7"/>
        <v/>
      </c>
      <c r="J201" s="5"/>
    </row>
    <row r="202" spans="1:10">
      <c r="A202" s="9"/>
      <c r="B202" s="10" t="str">
        <f t="shared" si="6"/>
        <v/>
      </c>
      <c r="C202" s="5"/>
      <c r="D202" s="5"/>
      <c r="E202" s="5"/>
      <c r="F202" s="5"/>
      <c r="G202" s="6"/>
      <c r="H202" s="5"/>
      <c r="I202" s="14" t="str">
        <f t="shared" si="7"/>
        <v/>
      </c>
      <c r="J202" s="5"/>
    </row>
    <row r="203" spans="1:10">
      <c r="A203" s="9"/>
      <c r="B203" s="10" t="str">
        <f t="shared" si="6"/>
        <v/>
      </c>
      <c r="C203" s="5"/>
      <c r="D203" s="5"/>
      <c r="E203" s="5"/>
      <c r="F203" s="5"/>
      <c r="G203" s="6"/>
      <c r="H203" s="5"/>
      <c r="I203" s="14" t="str">
        <f t="shared" si="7"/>
        <v/>
      </c>
      <c r="J203" s="5"/>
    </row>
    <row r="204" spans="1:10">
      <c r="A204" s="9"/>
      <c r="B204" s="10" t="str">
        <f t="shared" si="6"/>
        <v/>
      </c>
      <c r="C204" s="5"/>
      <c r="D204" s="5"/>
      <c r="E204" s="5"/>
      <c r="F204" s="5"/>
      <c r="G204" s="6"/>
      <c r="H204" s="5"/>
      <c r="I204" s="14" t="str">
        <f t="shared" si="7"/>
        <v/>
      </c>
      <c r="J204" s="5"/>
    </row>
    <row r="205" spans="1:10">
      <c r="A205" s="9"/>
      <c r="B205" s="10" t="str">
        <f t="shared" si="6"/>
        <v/>
      </c>
      <c r="C205" s="5"/>
      <c r="D205" s="5"/>
      <c r="E205" s="5"/>
      <c r="F205" s="5"/>
      <c r="G205" s="6"/>
      <c r="H205" s="5"/>
      <c r="I205" s="14" t="str">
        <f t="shared" si="7"/>
        <v/>
      </c>
      <c r="J205" s="5"/>
    </row>
    <row r="206" spans="1:10">
      <c r="A206" s="9"/>
      <c r="B206" s="10" t="str">
        <f t="shared" si="6"/>
        <v/>
      </c>
      <c r="C206" s="5"/>
      <c r="D206" s="5"/>
      <c r="E206" s="5"/>
      <c r="F206" s="5"/>
      <c r="G206" s="6"/>
      <c r="H206" s="5"/>
      <c r="I206" s="14" t="str">
        <f t="shared" si="7"/>
        <v/>
      </c>
      <c r="J206" s="5"/>
    </row>
    <row r="207" spans="1:10">
      <c r="A207" s="9"/>
      <c r="B207" s="10" t="str">
        <f t="shared" si="6"/>
        <v/>
      </c>
      <c r="C207" s="5"/>
      <c r="D207" s="5"/>
      <c r="E207" s="5"/>
      <c r="F207" s="5"/>
      <c r="G207" s="6"/>
      <c r="H207" s="5"/>
      <c r="I207" s="14" t="str">
        <f t="shared" si="7"/>
        <v/>
      </c>
      <c r="J207" s="5"/>
    </row>
    <row r="208" spans="1:10">
      <c r="A208" s="9"/>
      <c r="B208" s="10" t="str">
        <f t="shared" si="6"/>
        <v/>
      </c>
      <c r="C208" s="5"/>
      <c r="D208" s="5"/>
      <c r="E208" s="5"/>
      <c r="F208" s="5"/>
      <c r="G208" s="6"/>
      <c r="H208" s="5"/>
      <c r="I208" s="14" t="str">
        <f t="shared" si="7"/>
        <v/>
      </c>
      <c r="J208" s="5"/>
    </row>
    <row r="209" spans="1:10">
      <c r="A209" s="9"/>
      <c r="B209" s="10" t="str">
        <f t="shared" si="6"/>
        <v/>
      </c>
      <c r="C209" s="5"/>
      <c r="D209" s="5"/>
      <c r="E209" s="5"/>
      <c r="F209" s="5"/>
      <c r="G209" s="6"/>
      <c r="H209" s="5"/>
      <c r="I209" s="14" t="str">
        <f t="shared" si="7"/>
        <v/>
      </c>
      <c r="J209" s="5"/>
    </row>
    <row r="210" spans="1:10">
      <c r="A210" s="9"/>
      <c r="B210" s="10" t="str">
        <f t="shared" si="6"/>
        <v/>
      </c>
      <c r="C210" s="5"/>
      <c r="D210" s="5"/>
      <c r="E210" s="5"/>
      <c r="F210" s="5"/>
      <c r="G210" s="6"/>
      <c r="H210" s="5"/>
      <c r="I210" s="14" t="str">
        <f t="shared" si="7"/>
        <v/>
      </c>
      <c r="J210" s="5"/>
    </row>
    <row r="211" spans="1:10">
      <c r="A211" s="9"/>
      <c r="B211" s="10" t="str">
        <f t="shared" si="6"/>
        <v/>
      </c>
      <c r="C211" s="5"/>
      <c r="D211" s="5"/>
      <c r="E211" s="5"/>
      <c r="F211" s="5"/>
      <c r="G211" s="6"/>
      <c r="H211" s="5"/>
      <c r="I211" s="14" t="str">
        <f t="shared" si="7"/>
        <v/>
      </c>
      <c r="J211" s="5"/>
    </row>
    <row r="212" spans="1:10">
      <c r="A212" s="9"/>
      <c r="B212" s="10" t="str">
        <f t="shared" si="6"/>
        <v/>
      </c>
      <c r="C212" s="5"/>
      <c r="D212" s="5"/>
      <c r="E212" s="5"/>
      <c r="F212" s="5"/>
      <c r="G212" s="6"/>
      <c r="H212" s="5"/>
      <c r="I212" s="14" t="str">
        <f t="shared" si="7"/>
        <v/>
      </c>
      <c r="J212" s="5"/>
    </row>
    <row r="213" spans="1:10">
      <c r="A213" s="9"/>
      <c r="B213" s="10" t="str">
        <f t="shared" si="6"/>
        <v/>
      </c>
      <c r="C213" s="5"/>
      <c r="D213" s="5"/>
      <c r="E213" s="5"/>
      <c r="F213" s="5"/>
      <c r="G213" s="6"/>
      <c r="H213" s="5"/>
      <c r="I213" s="14" t="str">
        <f t="shared" si="7"/>
        <v/>
      </c>
      <c r="J213" s="5"/>
    </row>
    <row r="214" spans="1:10">
      <c r="A214" s="9"/>
      <c r="B214" s="10" t="str">
        <f t="shared" si="6"/>
        <v/>
      </c>
      <c r="C214" s="5"/>
      <c r="D214" s="5"/>
      <c r="E214" s="5"/>
      <c r="F214" s="5"/>
      <c r="G214" s="6"/>
      <c r="H214" s="5"/>
      <c r="I214" s="14" t="str">
        <f t="shared" si="7"/>
        <v/>
      </c>
      <c r="J214" s="5"/>
    </row>
    <row r="215" spans="1:10">
      <c r="A215" s="9"/>
      <c r="B215" s="10" t="str">
        <f t="shared" si="6"/>
        <v/>
      </c>
      <c r="C215" s="5"/>
      <c r="D215" s="5"/>
      <c r="E215" s="5"/>
      <c r="F215" s="5"/>
      <c r="G215" s="6"/>
      <c r="H215" s="5"/>
      <c r="I215" s="14" t="str">
        <f t="shared" si="7"/>
        <v/>
      </c>
      <c r="J215" s="5"/>
    </row>
    <row r="216" spans="1:10">
      <c r="A216" s="9"/>
      <c r="B216" s="10" t="str">
        <f t="shared" si="6"/>
        <v/>
      </c>
      <c r="C216" s="5"/>
      <c r="D216" s="5"/>
      <c r="E216" s="5"/>
      <c r="F216" s="5"/>
      <c r="G216" s="6"/>
      <c r="H216" s="5"/>
      <c r="I216" s="14" t="str">
        <f t="shared" si="7"/>
        <v/>
      </c>
      <c r="J216" s="5"/>
    </row>
    <row r="217" spans="1:10">
      <c r="A217" s="9"/>
      <c r="B217" s="10" t="str">
        <f t="shared" si="6"/>
        <v/>
      </c>
      <c r="C217" s="5"/>
      <c r="D217" s="5"/>
      <c r="E217" s="5"/>
      <c r="F217" s="5"/>
      <c r="G217" s="6"/>
      <c r="H217" s="5"/>
      <c r="I217" s="14" t="str">
        <f t="shared" si="7"/>
        <v/>
      </c>
      <c r="J217" s="5"/>
    </row>
    <row r="218" spans="1:10">
      <c r="A218" s="9"/>
      <c r="B218" s="10" t="str">
        <f t="shared" si="6"/>
        <v/>
      </c>
      <c r="C218" s="5"/>
      <c r="D218" s="5"/>
      <c r="E218" s="5"/>
      <c r="F218" s="5"/>
      <c r="G218" s="6"/>
      <c r="H218" s="5"/>
      <c r="I218" s="14" t="str">
        <f t="shared" si="7"/>
        <v/>
      </c>
      <c r="J218" s="5"/>
    </row>
    <row r="219" spans="1:10">
      <c r="A219" s="9"/>
      <c r="B219" s="10" t="str">
        <f t="shared" si="6"/>
        <v/>
      </c>
      <c r="C219" s="5"/>
      <c r="D219" s="5"/>
      <c r="E219" s="5"/>
      <c r="F219" s="5"/>
      <c r="G219" s="6"/>
      <c r="H219" s="5"/>
      <c r="I219" s="14" t="str">
        <f t="shared" si="7"/>
        <v/>
      </c>
      <c r="J219" s="5"/>
    </row>
    <row r="220" spans="1:10">
      <c r="A220" s="9"/>
      <c r="B220" s="10" t="str">
        <f t="shared" si="6"/>
        <v/>
      </c>
      <c r="C220" s="5"/>
      <c r="D220" s="5"/>
      <c r="E220" s="5"/>
      <c r="F220" s="5"/>
      <c r="G220" s="6"/>
      <c r="H220" s="5"/>
      <c r="I220" s="14" t="str">
        <f t="shared" si="7"/>
        <v/>
      </c>
      <c r="J220" s="5"/>
    </row>
    <row r="221" spans="1:10">
      <c r="A221" s="9"/>
      <c r="B221" s="10" t="str">
        <f t="shared" si="6"/>
        <v/>
      </c>
      <c r="C221" s="5"/>
      <c r="D221" s="5"/>
      <c r="E221" s="5"/>
      <c r="F221" s="5"/>
      <c r="G221" s="6"/>
      <c r="H221" s="5"/>
      <c r="I221" s="14" t="str">
        <f t="shared" si="7"/>
        <v/>
      </c>
      <c r="J221" s="5"/>
    </row>
    <row r="222" spans="1:10">
      <c r="A222" s="9"/>
      <c r="B222" s="10" t="str">
        <f t="shared" si="6"/>
        <v/>
      </c>
      <c r="C222" s="5"/>
      <c r="D222" s="5"/>
      <c r="E222" s="5"/>
      <c r="F222" s="5"/>
      <c r="G222" s="6"/>
      <c r="H222" s="5"/>
      <c r="I222" s="14" t="str">
        <f t="shared" si="7"/>
        <v/>
      </c>
      <c r="J222" s="5"/>
    </row>
    <row r="223" spans="1:10">
      <c r="A223" s="9"/>
      <c r="B223" s="10" t="str">
        <f t="shared" si="6"/>
        <v/>
      </c>
      <c r="C223" s="5"/>
      <c r="D223" s="5"/>
      <c r="E223" s="5"/>
      <c r="F223" s="5"/>
      <c r="G223" s="6"/>
      <c r="H223" s="5"/>
      <c r="I223" s="14" t="str">
        <f t="shared" si="7"/>
        <v/>
      </c>
      <c r="J223" s="5"/>
    </row>
    <row r="224" spans="1:10">
      <c r="A224" s="9"/>
      <c r="B224" s="10" t="str">
        <f t="shared" si="6"/>
        <v/>
      </c>
      <c r="C224" s="5"/>
      <c r="D224" s="5"/>
      <c r="E224" s="5"/>
      <c r="F224" s="5"/>
      <c r="G224" s="6"/>
      <c r="H224" s="5"/>
      <c r="I224" s="14" t="str">
        <f t="shared" si="7"/>
        <v/>
      </c>
      <c r="J224" s="5"/>
    </row>
    <row r="225" spans="1:10">
      <c r="A225" s="9"/>
      <c r="B225" s="10" t="str">
        <f t="shared" si="6"/>
        <v/>
      </c>
      <c r="C225" s="5"/>
      <c r="D225" s="5"/>
      <c r="E225" s="5"/>
      <c r="F225" s="5"/>
      <c r="G225" s="6"/>
      <c r="H225" s="5"/>
      <c r="I225" s="14" t="str">
        <f t="shared" si="7"/>
        <v/>
      </c>
      <c r="J225" s="5"/>
    </row>
    <row r="226" spans="1:10">
      <c r="A226" s="9"/>
      <c r="B226" s="10" t="str">
        <f t="shared" si="6"/>
        <v/>
      </c>
      <c r="C226" s="5"/>
      <c r="D226" s="5"/>
      <c r="E226" s="5"/>
      <c r="F226" s="5"/>
      <c r="G226" s="6"/>
      <c r="H226" s="5"/>
      <c r="I226" s="14" t="str">
        <f t="shared" si="7"/>
        <v/>
      </c>
      <c r="J226" s="5"/>
    </row>
    <row r="227" spans="1:10">
      <c r="A227" s="9"/>
      <c r="B227" s="10" t="str">
        <f t="shared" si="6"/>
        <v/>
      </c>
      <c r="C227" s="5"/>
      <c r="D227" s="5"/>
      <c r="E227" s="5"/>
      <c r="F227" s="5"/>
      <c r="G227" s="6"/>
      <c r="H227" s="5"/>
      <c r="I227" s="14" t="str">
        <f t="shared" si="7"/>
        <v/>
      </c>
      <c r="J227" s="5"/>
    </row>
    <row r="228" spans="1:10">
      <c r="A228" s="9"/>
      <c r="B228" s="10" t="str">
        <f t="shared" si="6"/>
        <v/>
      </c>
      <c r="C228" s="5"/>
      <c r="D228" s="5"/>
      <c r="E228" s="5"/>
      <c r="F228" s="5"/>
      <c r="G228" s="6"/>
      <c r="H228" s="5"/>
      <c r="I228" s="14" t="str">
        <f t="shared" si="7"/>
        <v/>
      </c>
      <c r="J228" s="5"/>
    </row>
    <row r="229" spans="1:10">
      <c r="A229" s="9"/>
      <c r="B229" s="10" t="str">
        <f t="shared" si="6"/>
        <v/>
      </c>
      <c r="C229" s="5"/>
      <c r="D229" s="5"/>
      <c r="E229" s="5"/>
      <c r="F229" s="5"/>
      <c r="G229" s="6"/>
      <c r="H229" s="5"/>
      <c r="I229" s="14" t="str">
        <f t="shared" si="7"/>
        <v/>
      </c>
      <c r="J229" s="5"/>
    </row>
    <row r="230" spans="1:10">
      <c r="A230" s="9"/>
      <c r="B230" s="10" t="str">
        <f t="shared" si="6"/>
        <v/>
      </c>
      <c r="C230" s="5"/>
      <c r="D230" s="5"/>
      <c r="E230" s="5"/>
      <c r="F230" s="5"/>
      <c r="G230" s="6"/>
      <c r="H230" s="5"/>
      <c r="I230" s="14" t="str">
        <f t="shared" si="7"/>
        <v/>
      </c>
      <c r="J230" s="5"/>
    </row>
    <row r="231" spans="1:10">
      <c r="A231" s="9"/>
      <c r="B231" s="10" t="str">
        <f t="shared" si="6"/>
        <v/>
      </c>
      <c r="C231" s="5"/>
      <c r="D231" s="5"/>
      <c r="E231" s="5"/>
      <c r="F231" s="5"/>
      <c r="G231" s="6"/>
      <c r="H231" s="5"/>
      <c r="I231" s="14" t="str">
        <f t="shared" si="7"/>
        <v/>
      </c>
      <c r="J231" s="5"/>
    </row>
    <row r="232" spans="1:10">
      <c r="A232" s="9"/>
      <c r="B232" s="10" t="str">
        <f t="shared" si="6"/>
        <v/>
      </c>
      <c r="C232" s="5"/>
      <c r="D232" s="5"/>
      <c r="E232" s="5"/>
      <c r="F232" s="5"/>
      <c r="G232" s="6"/>
      <c r="H232" s="5"/>
      <c r="I232" s="14" t="str">
        <f t="shared" si="7"/>
        <v/>
      </c>
      <c r="J232" s="5"/>
    </row>
    <row r="233" spans="1:10">
      <c r="A233" s="9"/>
      <c r="B233" s="10" t="str">
        <f t="shared" si="6"/>
        <v/>
      </c>
      <c r="C233" s="5"/>
      <c r="D233" s="5"/>
      <c r="E233" s="5"/>
      <c r="F233" s="5"/>
      <c r="G233" s="6"/>
      <c r="H233" s="5"/>
      <c r="I233" s="14" t="str">
        <f t="shared" si="7"/>
        <v/>
      </c>
      <c r="J233" s="5"/>
    </row>
    <row r="234" spans="1:10">
      <c r="A234" s="9"/>
      <c r="B234" s="10" t="str">
        <f t="shared" si="6"/>
        <v/>
      </c>
      <c r="C234" s="5"/>
      <c r="D234" s="5"/>
      <c r="E234" s="5"/>
      <c r="F234" s="5"/>
      <c r="G234" s="6"/>
      <c r="H234" s="5"/>
      <c r="I234" s="14" t="str">
        <f t="shared" si="7"/>
        <v/>
      </c>
      <c r="J234" s="5"/>
    </row>
    <row r="235" spans="1:10">
      <c r="A235" s="9"/>
      <c r="B235" s="10" t="str">
        <f t="shared" si="6"/>
        <v/>
      </c>
      <c r="C235" s="5"/>
      <c r="D235" s="5"/>
      <c r="E235" s="5"/>
      <c r="F235" s="5"/>
      <c r="G235" s="6"/>
      <c r="H235" s="5"/>
      <c r="I235" s="14" t="str">
        <f t="shared" si="7"/>
        <v/>
      </c>
      <c r="J235" s="5"/>
    </row>
    <row r="236" spans="1:10">
      <c r="A236" s="9"/>
      <c r="B236" s="10" t="str">
        <f t="shared" si="6"/>
        <v/>
      </c>
      <c r="C236" s="5"/>
      <c r="D236" s="5"/>
      <c r="E236" s="5"/>
      <c r="F236" s="5"/>
      <c r="G236" s="6"/>
      <c r="H236" s="5"/>
      <c r="I236" s="14" t="str">
        <f t="shared" si="7"/>
        <v/>
      </c>
      <c r="J236" s="5"/>
    </row>
    <row r="237" spans="1:10">
      <c r="A237" s="9"/>
      <c r="B237" s="10" t="str">
        <f t="shared" si="6"/>
        <v/>
      </c>
      <c r="C237" s="5"/>
      <c r="D237" s="5"/>
      <c r="E237" s="5"/>
      <c r="F237" s="5"/>
      <c r="G237" s="6"/>
      <c r="H237" s="5"/>
      <c r="I237" s="14" t="str">
        <f t="shared" si="7"/>
        <v/>
      </c>
      <c r="J237" s="5"/>
    </row>
    <row r="238" spans="1:10">
      <c r="A238" s="9"/>
      <c r="B238" s="10" t="str">
        <f t="shared" si="6"/>
        <v/>
      </c>
      <c r="C238" s="5"/>
      <c r="D238" s="5"/>
      <c r="E238" s="5"/>
      <c r="F238" s="5"/>
      <c r="G238" s="6"/>
      <c r="H238" s="5"/>
      <c r="I238" s="14" t="str">
        <f t="shared" si="7"/>
        <v/>
      </c>
      <c r="J238" s="5"/>
    </row>
    <row r="239" spans="1:10">
      <c r="A239" s="9"/>
      <c r="B239" s="10" t="str">
        <f t="shared" si="6"/>
        <v/>
      </c>
      <c r="C239" s="5"/>
      <c r="D239" s="5"/>
      <c r="E239" s="5"/>
      <c r="F239" s="5"/>
      <c r="G239" s="6"/>
      <c r="H239" s="5"/>
      <c r="I239" s="14" t="str">
        <f t="shared" si="7"/>
        <v/>
      </c>
      <c r="J239" s="5"/>
    </row>
    <row r="240" spans="1:10">
      <c r="A240" s="9"/>
      <c r="B240" s="10" t="str">
        <f t="shared" si="6"/>
        <v/>
      </c>
      <c r="C240" s="5"/>
      <c r="D240" s="5"/>
      <c r="E240" s="5"/>
      <c r="F240" s="5"/>
      <c r="G240" s="6"/>
      <c r="H240" s="5"/>
      <c r="I240" s="14" t="str">
        <f t="shared" si="7"/>
        <v/>
      </c>
      <c r="J240" s="5"/>
    </row>
    <row r="241" spans="1:10">
      <c r="A241" s="9"/>
      <c r="B241" s="10" t="str">
        <f t="shared" si="6"/>
        <v/>
      </c>
      <c r="C241" s="5"/>
      <c r="D241" s="5"/>
      <c r="E241" s="5"/>
      <c r="F241" s="5"/>
      <c r="G241" s="6"/>
      <c r="H241" s="5"/>
      <c r="I241" s="14" t="str">
        <f t="shared" si="7"/>
        <v/>
      </c>
      <c r="J241" s="5"/>
    </row>
    <row r="242" spans="1:10">
      <c r="A242" s="9"/>
      <c r="B242" s="10" t="str">
        <f t="shared" si="6"/>
        <v/>
      </c>
      <c r="C242" s="5"/>
      <c r="D242" s="5"/>
      <c r="E242" s="5"/>
      <c r="F242" s="5"/>
      <c r="G242" s="6"/>
      <c r="H242" s="5"/>
      <c r="I242" s="14" t="str">
        <f t="shared" si="7"/>
        <v/>
      </c>
      <c r="J242" s="5"/>
    </row>
    <row r="243" spans="1:10">
      <c r="A243" s="9"/>
      <c r="B243" s="10" t="str">
        <f t="shared" si="6"/>
        <v/>
      </c>
      <c r="C243" s="5"/>
      <c r="D243" s="5"/>
      <c r="E243" s="5"/>
      <c r="F243" s="5"/>
      <c r="G243" s="6"/>
      <c r="H243" s="5"/>
      <c r="I243" s="14" t="str">
        <f t="shared" si="7"/>
        <v/>
      </c>
      <c r="J243" s="5"/>
    </row>
    <row r="244" spans="1:10">
      <c r="A244" s="9"/>
      <c r="B244" s="10" t="str">
        <f t="shared" si="6"/>
        <v/>
      </c>
      <c r="C244" s="5"/>
      <c r="D244" s="5"/>
      <c r="E244" s="5"/>
      <c r="F244" s="5"/>
      <c r="G244" s="6"/>
      <c r="H244" s="5"/>
      <c r="I244" s="14" t="str">
        <f t="shared" si="7"/>
        <v/>
      </c>
      <c r="J244" s="5"/>
    </row>
    <row r="245" spans="1:10">
      <c r="A245" s="9"/>
      <c r="B245" s="10" t="str">
        <f t="shared" si="6"/>
        <v/>
      </c>
      <c r="C245" s="5"/>
      <c r="D245" s="5"/>
      <c r="E245" s="5"/>
      <c r="F245" s="5"/>
      <c r="G245" s="6"/>
      <c r="H245" s="5"/>
      <c r="I245" s="14" t="str">
        <f t="shared" si="7"/>
        <v/>
      </c>
      <c r="J245" s="5"/>
    </row>
    <row r="246" spans="1:10">
      <c r="A246" s="9"/>
      <c r="B246" s="10" t="str">
        <f t="shared" si="6"/>
        <v/>
      </c>
      <c r="C246" s="5"/>
      <c r="D246" s="5"/>
      <c r="E246" s="5"/>
      <c r="F246" s="5"/>
      <c r="G246" s="6"/>
      <c r="H246" s="5"/>
      <c r="I246" s="14" t="str">
        <f t="shared" si="7"/>
        <v/>
      </c>
      <c r="J246" s="5"/>
    </row>
    <row r="247" spans="1:10">
      <c r="A247" s="9"/>
      <c r="B247" s="10" t="str">
        <f t="shared" si="6"/>
        <v/>
      </c>
      <c r="C247" s="5"/>
      <c r="D247" s="5"/>
      <c r="E247" s="5"/>
      <c r="F247" s="5"/>
      <c r="G247" s="6"/>
      <c r="H247" s="5"/>
      <c r="I247" s="14" t="str">
        <f t="shared" si="7"/>
        <v/>
      </c>
      <c r="J247" s="5"/>
    </row>
    <row r="248" spans="1:10">
      <c r="A248" s="9"/>
      <c r="B248" s="10" t="str">
        <f t="shared" si="6"/>
        <v/>
      </c>
      <c r="C248" s="5"/>
      <c r="D248" s="5"/>
      <c r="E248" s="5"/>
      <c r="F248" s="5"/>
      <c r="G248" s="6"/>
      <c r="H248" s="5"/>
      <c r="I248" s="14" t="str">
        <f t="shared" si="7"/>
        <v/>
      </c>
      <c r="J248" s="5"/>
    </row>
    <row r="249" spans="1:10">
      <c r="A249" s="9"/>
      <c r="B249" s="10" t="str">
        <f t="shared" si="6"/>
        <v/>
      </c>
      <c r="C249" s="5"/>
      <c r="D249" s="5"/>
      <c r="E249" s="5"/>
      <c r="F249" s="5"/>
      <c r="G249" s="6"/>
      <c r="H249" s="5"/>
      <c r="I249" s="14" t="str">
        <f t="shared" si="7"/>
        <v/>
      </c>
      <c r="J249" s="5"/>
    </row>
    <row r="250" spans="1:10">
      <c r="A250" s="9"/>
      <c r="B250" s="10" t="str">
        <f t="shared" si="6"/>
        <v/>
      </c>
      <c r="C250" s="5"/>
      <c r="D250" s="5"/>
      <c r="E250" s="5"/>
      <c r="F250" s="5"/>
      <c r="G250" s="6"/>
      <c r="H250" s="5"/>
      <c r="I250" s="14" t="str">
        <f t="shared" si="7"/>
        <v/>
      </c>
      <c r="J250" s="5"/>
    </row>
    <row r="251" spans="1:10">
      <c r="A251" s="9"/>
      <c r="B251" s="10" t="str">
        <f t="shared" si="6"/>
        <v/>
      </c>
      <c r="C251" s="5"/>
      <c r="D251" s="5"/>
      <c r="E251" s="5"/>
      <c r="F251" s="5"/>
      <c r="G251" s="6"/>
      <c r="H251" s="5"/>
      <c r="I251" s="14" t="str">
        <f t="shared" si="7"/>
        <v/>
      </c>
      <c r="J251" s="5"/>
    </row>
    <row r="252" spans="1:10">
      <c r="A252" s="9"/>
      <c r="B252" s="10" t="str">
        <f t="shared" si="6"/>
        <v/>
      </c>
      <c r="C252" s="5"/>
      <c r="D252" s="5"/>
      <c r="E252" s="5"/>
      <c r="F252" s="5"/>
      <c r="G252" s="6"/>
      <c r="H252" s="5"/>
      <c r="I252" s="14" t="str">
        <f t="shared" si="7"/>
        <v/>
      </c>
      <c r="J252" s="5"/>
    </row>
    <row r="253" spans="1:10">
      <c r="A253" s="9"/>
      <c r="B253" s="10" t="str">
        <f t="shared" si="6"/>
        <v/>
      </c>
      <c r="C253" s="5"/>
      <c r="D253" s="5"/>
      <c r="E253" s="5"/>
      <c r="F253" s="5"/>
      <c r="G253" s="6"/>
      <c r="H253" s="5"/>
      <c r="I253" s="14" t="str">
        <f t="shared" si="7"/>
        <v/>
      </c>
      <c r="J253" s="5"/>
    </row>
    <row r="254" spans="1:10">
      <c r="A254" s="9"/>
      <c r="B254" s="10" t="str">
        <f t="shared" si="6"/>
        <v/>
      </c>
      <c r="C254" s="5"/>
      <c r="D254" s="5"/>
      <c r="E254" s="5"/>
      <c r="F254" s="5"/>
      <c r="G254" s="6"/>
      <c r="H254" s="5"/>
      <c r="I254" s="14" t="str">
        <f t="shared" si="7"/>
        <v/>
      </c>
      <c r="J254" s="5"/>
    </row>
    <row r="255" spans="1:10">
      <c r="A255" s="9"/>
      <c r="B255" s="10" t="str">
        <f t="shared" si="6"/>
        <v/>
      </c>
      <c r="C255" s="5"/>
      <c r="D255" s="5"/>
      <c r="E255" s="5"/>
      <c r="F255" s="5"/>
      <c r="G255" s="6"/>
      <c r="H255" s="5"/>
      <c r="I255" s="14" t="str">
        <f t="shared" si="7"/>
        <v/>
      </c>
      <c r="J255" s="5"/>
    </row>
    <row r="256" spans="1:10">
      <c r="A256" s="9"/>
      <c r="B256" s="10" t="str">
        <f t="shared" si="6"/>
        <v/>
      </c>
      <c r="C256" s="5"/>
      <c r="D256" s="5"/>
      <c r="E256" s="5"/>
      <c r="F256" s="5"/>
      <c r="G256" s="6"/>
      <c r="H256" s="5"/>
      <c r="I256" s="14" t="str">
        <f t="shared" si="7"/>
        <v/>
      </c>
      <c r="J256" s="5"/>
    </row>
    <row r="257" spans="1:10">
      <c r="A257" s="9"/>
      <c r="B257" s="10" t="str">
        <f t="shared" si="6"/>
        <v/>
      </c>
      <c r="C257" s="5"/>
      <c r="D257" s="5"/>
      <c r="E257" s="5"/>
      <c r="F257" s="5"/>
      <c r="G257" s="6"/>
      <c r="H257" s="5"/>
      <c r="I257" s="14" t="str">
        <f t="shared" si="7"/>
        <v/>
      </c>
      <c r="J257" s="5"/>
    </row>
    <row r="258" spans="1:10">
      <c r="A258" s="9"/>
      <c r="B258" s="10" t="str">
        <f t="shared" ref="B258:B321" si="8">IF(A258="","",YEAR(A258)&amp;"/"&amp;RIGHT("0"&amp;MONTH(A258),2))</f>
        <v/>
      </c>
      <c r="C258" s="5"/>
      <c r="D258" s="5"/>
      <c r="E258" s="5"/>
      <c r="F258" s="5"/>
      <c r="G258" s="6"/>
      <c r="H258" s="5"/>
      <c r="I258" s="14" t="str">
        <f t="shared" ref="I258:I321" si="9">IF(OR(G258="",H258=""),"",G258*H258)</f>
        <v/>
      </c>
      <c r="J258" s="5"/>
    </row>
    <row r="259" spans="1:10">
      <c r="A259" s="9"/>
      <c r="B259" s="10" t="str">
        <f t="shared" si="8"/>
        <v/>
      </c>
      <c r="C259" s="5"/>
      <c r="D259" s="5"/>
      <c r="E259" s="5"/>
      <c r="F259" s="5"/>
      <c r="G259" s="6"/>
      <c r="H259" s="5"/>
      <c r="I259" s="14" t="str">
        <f t="shared" si="9"/>
        <v/>
      </c>
      <c r="J259" s="5"/>
    </row>
    <row r="260" spans="1:10">
      <c r="A260" s="9"/>
      <c r="B260" s="10" t="str">
        <f t="shared" si="8"/>
        <v/>
      </c>
      <c r="C260" s="5"/>
      <c r="D260" s="5"/>
      <c r="E260" s="5"/>
      <c r="F260" s="5"/>
      <c r="G260" s="6"/>
      <c r="H260" s="5"/>
      <c r="I260" s="14" t="str">
        <f t="shared" si="9"/>
        <v/>
      </c>
      <c r="J260" s="5"/>
    </row>
    <row r="261" spans="1:10">
      <c r="A261" s="9"/>
      <c r="B261" s="10" t="str">
        <f t="shared" si="8"/>
        <v/>
      </c>
      <c r="C261" s="5"/>
      <c r="D261" s="5"/>
      <c r="E261" s="5"/>
      <c r="F261" s="5"/>
      <c r="G261" s="6"/>
      <c r="H261" s="5"/>
      <c r="I261" s="14" t="str">
        <f t="shared" si="9"/>
        <v/>
      </c>
      <c r="J261" s="5"/>
    </row>
    <row r="262" spans="1:10">
      <c r="A262" s="9"/>
      <c r="B262" s="10" t="str">
        <f t="shared" si="8"/>
        <v/>
      </c>
      <c r="C262" s="5"/>
      <c r="D262" s="5"/>
      <c r="E262" s="5"/>
      <c r="F262" s="5"/>
      <c r="G262" s="6"/>
      <c r="H262" s="5"/>
      <c r="I262" s="14" t="str">
        <f t="shared" si="9"/>
        <v/>
      </c>
      <c r="J262" s="5"/>
    </row>
    <row r="263" spans="1:10">
      <c r="A263" s="9"/>
      <c r="B263" s="10" t="str">
        <f t="shared" si="8"/>
        <v/>
      </c>
      <c r="C263" s="5"/>
      <c r="D263" s="5"/>
      <c r="E263" s="5"/>
      <c r="F263" s="5"/>
      <c r="G263" s="6"/>
      <c r="H263" s="5"/>
      <c r="I263" s="14" t="str">
        <f t="shared" si="9"/>
        <v/>
      </c>
      <c r="J263" s="5"/>
    </row>
    <row r="264" spans="1:10">
      <c r="A264" s="9"/>
      <c r="B264" s="10" t="str">
        <f t="shared" si="8"/>
        <v/>
      </c>
      <c r="C264" s="5"/>
      <c r="D264" s="5"/>
      <c r="E264" s="5"/>
      <c r="F264" s="5"/>
      <c r="G264" s="6"/>
      <c r="H264" s="5"/>
      <c r="I264" s="14" t="str">
        <f t="shared" si="9"/>
        <v/>
      </c>
      <c r="J264" s="5"/>
    </row>
    <row r="265" spans="1:10">
      <c r="A265" s="9"/>
      <c r="B265" s="10" t="str">
        <f t="shared" si="8"/>
        <v/>
      </c>
      <c r="C265" s="5"/>
      <c r="D265" s="5"/>
      <c r="E265" s="5"/>
      <c r="F265" s="5"/>
      <c r="G265" s="6"/>
      <c r="H265" s="5"/>
      <c r="I265" s="14" t="str">
        <f t="shared" si="9"/>
        <v/>
      </c>
      <c r="J265" s="5"/>
    </row>
    <row r="266" spans="1:10">
      <c r="A266" s="9"/>
      <c r="B266" s="10" t="str">
        <f t="shared" si="8"/>
        <v/>
      </c>
      <c r="C266" s="5"/>
      <c r="D266" s="5"/>
      <c r="E266" s="5"/>
      <c r="F266" s="5"/>
      <c r="G266" s="6"/>
      <c r="H266" s="5"/>
      <c r="I266" s="14" t="str">
        <f t="shared" si="9"/>
        <v/>
      </c>
      <c r="J266" s="5"/>
    </row>
    <row r="267" spans="1:10">
      <c r="A267" s="9"/>
      <c r="B267" s="10" t="str">
        <f t="shared" si="8"/>
        <v/>
      </c>
      <c r="C267" s="5"/>
      <c r="D267" s="5"/>
      <c r="E267" s="5"/>
      <c r="F267" s="5"/>
      <c r="G267" s="6"/>
      <c r="H267" s="5"/>
      <c r="I267" s="14" t="str">
        <f t="shared" si="9"/>
        <v/>
      </c>
      <c r="J267" s="5"/>
    </row>
    <row r="268" spans="1:10">
      <c r="A268" s="9"/>
      <c r="B268" s="10" t="str">
        <f t="shared" si="8"/>
        <v/>
      </c>
      <c r="C268" s="5"/>
      <c r="D268" s="5"/>
      <c r="E268" s="5"/>
      <c r="F268" s="5"/>
      <c r="G268" s="6"/>
      <c r="H268" s="5"/>
      <c r="I268" s="14" t="str">
        <f t="shared" si="9"/>
        <v/>
      </c>
      <c r="J268" s="5"/>
    </row>
    <row r="269" spans="1:10">
      <c r="A269" s="9"/>
      <c r="B269" s="10" t="str">
        <f t="shared" si="8"/>
        <v/>
      </c>
      <c r="C269" s="5"/>
      <c r="D269" s="5"/>
      <c r="E269" s="5"/>
      <c r="F269" s="5"/>
      <c r="G269" s="6"/>
      <c r="H269" s="5"/>
      <c r="I269" s="14" t="str">
        <f t="shared" si="9"/>
        <v/>
      </c>
      <c r="J269" s="5"/>
    </row>
    <row r="270" spans="1:10">
      <c r="A270" s="9"/>
      <c r="B270" s="10" t="str">
        <f t="shared" si="8"/>
        <v/>
      </c>
      <c r="C270" s="5"/>
      <c r="D270" s="5"/>
      <c r="E270" s="5"/>
      <c r="F270" s="5"/>
      <c r="G270" s="6"/>
      <c r="H270" s="5"/>
      <c r="I270" s="14" t="str">
        <f t="shared" si="9"/>
        <v/>
      </c>
      <c r="J270" s="5"/>
    </row>
    <row r="271" spans="1:10">
      <c r="A271" s="9"/>
      <c r="B271" s="10" t="str">
        <f t="shared" si="8"/>
        <v/>
      </c>
      <c r="C271" s="5"/>
      <c r="D271" s="5"/>
      <c r="E271" s="5"/>
      <c r="F271" s="5"/>
      <c r="G271" s="6"/>
      <c r="H271" s="5"/>
      <c r="I271" s="14" t="str">
        <f t="shared" si="9"/>
        <v/>
      </c>
      <c r="J271" s="5"/>
    </row>
    <row r="272" spans="1:10">
      <c r="A272" s="9"/>
      <c r="B272" s="10" t="str">
        <f t="shared" si="8"/>
        <v/>
      </c>
      <c r="C272" s="5"/>
      <c r="D272" s="5"/>
      <c r="E272" s="5"/>
      <c r="F272" s="5"/>
      <c r="G272" s="6"/>
      <c r="H272" s="5"/>
      <c r="I272" s="14" t="str">
        <f t="shared" si="9"/>
        <v/>
      </c>
      <c r="J272" s="5"/>
    </row>
    <row r="273" spans="1:10">
      <c r="A273" s="9"/>
      <c r="B273" s="10" t="str">
        <f t="shared" si="8"/>
        <v/>
      </c>
      <c r="C273" s="5"/>
      <c r="D273" s="5"/>
      <c r="E273" s="5"/>
      <c r="F273" s="5"/>
      <c r="G273" s="6"/>
      <c r="H273" s="5"/>
      <c r="I273" s="14" t="str">
        <f t="shared" si="9"/>
        <v/>
      </c>
      <c r="J273" s="5"/>
    </row>
    <row r="274" spans="1:10">
      <c r="A274" s="9"/>
      <c r="B274" s="10" t="str">
        <f t="shared" si="8"/>
        <v/>
      </c>
      <c r="C274" s="5"/>
      <c r="D274" s="5"/>
      <c r="E274" s="5"/>
      <c r="F274" s="5"/>
      <c r="G274" s="6"/>
      <c r="H274" s="5"/>
      <c r="I274" s="14" t="str">
        <f t="shared" si="9"/>
        <v/>
      </c>
      <c r="J274" s="5"/>
    </row>
    <row r="275" spans="1:10">
      <c r="A275" s="9"/>
      <c r="B275" s="10" t="str">
        <f t="shared" si="8"/>
        <v/>
      </c>
      <c r="C275" s="5"/>
      <c r="D275" s="5"/>
      <c r="E275" s="5"/>
      <c r="F275" s="5"/>
      <c r="G275" s="6"/>
      <c r="H275" s="5"/>
      <c r="I275" s="14" t="str">
        <f t="shared" si="9"/>
        <v/>
      </c>
      <c r="J275" s="5"/>
    </row>
    <row r="276" spans="1:10">
      <c r="A276" s="9"/>
      <c r="B276" s="10" t="str">
        <f t="shared" si="8"/>
        <v/>
      </c>
      <c r="C276" s="5"/>
      <c r="D276" s="5"/>
      <c r="E276" s="5"/>
      <c r="F276" s="5"/>
      <c r="G276" s="6"/>
      <c r="H276" s="5"/>
      <c r="I276" s="14" t="str">
        <f t="shared" si="9"/>
        <v/>
      </c>
      <c r="J276" s="5"/>
    </row>
    <row r="277" spans="1:10">
      <c r="A277" s="9"/>
      <c r="B277" s="10" t="str">
        <f t="shared" si="8"/>
        <v/>
      </c>
      <c r="C277" s="5"/>
      <c r="D277" s="5"/>
      <c r="E277" s="5"/>
      <c r="F277" s="5"/>
      <c r="G277" s="6"/>
      <c r="H277" s="5"/>
      <c r="I277" s="14" t="str">
        <f t="shared" si="9"/>
        <v/>
      </c>
      <c r="J277" s="5"/>
    </row>
    <row r="278" spans="1:10">
      <c r="A278" s="9"/>
      <c r="B278" s="10" t="str">
        <f t="shared" si="8"/>
        <v/>
      </c>
      <c r="C278" s="5"/>
      <c r="D278" s="5"/>
      <c r="E278" s="5"/>
      <c r="F278" s="5"/>
      <c r="G278" s="6"/>
      <c r="H278" s="5"/>
      <c r="I278" s="14" t="str">
        <f t="shared" si="9"/>
        <v/>
      </c>
      <c r="J278" s="5"/>
    </row>
    <row r="279" spans="1:10">
      <c r="A279" s="9"/>
      <c r="B279" s="10" t="str">
        <f t="shared" si="8"/>
        <v/>
      </c>
      <c r="C279" s="5"/>
      <c r="D279" s="5"/>
      <c r="E279" s="5"/>
      <c r="F279" s="5"/>
      <c r="G279" s="6"/>
      <c r="H279" s="5"/>
      <c r="I279" s="14" t="str">
        <f t="shared" si="9"/>
        <v/>
      </c>
      <c r="J279" s="5"/>
    </row>
    <row r="280" spans="1:10">
      <c r="A280" s="9"/>
      <c r="B280" s="10" t="str">
        <f t="shared" si="8"/>
        <v/>
      </c>
      <c r="C280" s="5"/>
      <c r="D280" s="5"/>
      <c r="E280" s="5"/>
      <c r="F280" s="5"/>
      <c r="G280" s="6"/>
      <c r="H280" s="5"/>
      <c r="I280" s="14" t="str">
        <f t="shared" si="9"/>
        <v/>
      </c>
      <c r="J280" s="5"/>
    </row>
    <row r="281" spans="1:10">
      <c r="A281" s="9"/>
      <c r="B281" s="10" t="str">
        <f t="shared" si="8"/>
        <v/>
      </c>
      <c r="C281" s="5"/>
      <c r="D281" s="5"/>
      <c r="E281" s="5"/>
      <c r="F281" s="5"/>
      <c r="G281" s="6"/>
      <c r="H281" s="5"/>
      <c r="I281" s="14" t="str">
        <f t="shared" si="9"/>
        <v/>
      </c>
      <c r="J281" s="5"/>
    </row>
    <row r="282" spans="1:10">
      <c r="A282" s="9"/>
      <c r="B282" s="10" t="str">
        <f t="shared" si="8"/>
        <v/>
      </c>
      <c r="C282" s="5"/>
      <c r="D282" s="5"/>
      <c r="E282" s="5"/>
      <c r="F282" s="5"/>
      <c r="G282" s="6"/>
      <c r="H282" s="5"/>
      <c r="I282" s="14" t="str">
        <f t="shared" si="9"/>
        <v/>
      </c>
      <c r="J282" s="5"/>
    </row>
    <row r="283" spans="1:10">
      <c r="A283" s="9"/>
      <c r="B283" s="10" t="str">
        <f t="shared" si="8"/>
        <v/>
      </c>
      <c r="C283" s="5"/>
      <c r="D283" s="5"/>
      <c r="E283" s="5"/>
      <c r="F283" s="5"/>
      <c r="G283" s="6"/>
      <c r="H283" s="5"/>
      <c r="I283" s="14" t="str">
        <f t="shared" si="9"/>
        <v/>
      </c>
      <c r="J283" s="5"/>
    </row>
    <row r="284" spans="1:10">
      <c r="A284" s="9"/>
      <c r="B284" s="10" t="str">
        <f t="shared" si="8"/>
        <v/>
      </c>
      <c r="C284" s="5"/>
      <c r="D284" s="5"/>
      <c r="E284" s="5"/>
      <c r="F284" s="5"/>
      <c r="G284" s="6"/>
      <c r="H284" s="5"/>
      <c r="I284" s="14" t="str">
        <f t="shared" si="9"/>
        <v/>
      </c>
      <c r="J284" s="5"/>
    </row>
    <row r="285" spans="1:10">
      <c r="A285" s="9"/>
      <c r="B285" s="10" t="str">
        <f t="shared" si="8"/>
        <v/>
      </c>
      <c r="C285" s="5"/>
      <c r="D285" s="5"/>
      <c r="E285" s="5"/>
      <c r="F285" s="5"/>
      <c r="G285" s="6"/>
      <c r="H285" s="5"/>
      <c r="I285" s="14" t="str">
        <f t="shared" si="9"/>
        <v/>
      </c>
      <c r="J285" s="5"/>
    </row>
    <row r="286" spans="1:10">
      <c r="A286" s="9"/>
      <c r="B286" s="10" t="str">
        <f t="shared" si="8"/>
        <v/>
      </c>
      <c r="C286" s="5"/>
      <c r="D286" s="5"/>
      <c r="E286" s="5"/>
      <c r="F286" s="5"/>
      <c r="G286" s="6"/>
      <c r="H286" s="5"/>
      <c r="I286" s="14" t="str">
        <f t="shared" si="9"/>
        <v/>
      </c>
      <c r="J286" s="5"/>
    </row>
    <row r="287" spans="1:10">
      <c r="A287" s="9"/>
      <c r="B287" s="10" t="str">
        <f t="shared" si="8"/>
        <v/>
      </c>
      <c r="C287" s="5"/>
      <c r="D287" s="5"/>
      <c r="E287" s="5"/>
      <c r="F287" s="5"/>
      <c r="G287" s="6"/>
      <c r="H287" s="5"/>
      <c r="I287" s="14" t="str">
        <f t="shared" si="9"/>
        <v/>
      </c>
      <c r="J287" s="5"/>
    </row>
    <row r="288" spans="1:10">
      <c r="A288" s="9"/>
      <c r="B288" s="10" t="str">
        <f t="shared" si="8"/>
        <v/>
      </c>
      <c r="C288" s="5"/>
      <c r="D288" s="5"/>
      <c r="E288" s="5"/>
      <c r="F288" s="5"/>
      <c r="G288" s="6"/>
      <c r="H288" s="5"/>
      <c r="I288" s="14" t="str">
        <f t="shared" si="9"/>
        <v/>
      </c>
      <c r="J288" s="5"/>
    </row>
    <row r="289" spans="1:10">
      <c r="A289" s="9"/>
      <c r="B289" s="10" t="str">
        <f t="shared" si="8"/>
        <v/>
      </c>
      <c r="C289" s="5"/>
      <c r="D289" s="5"/>
      <c r="E289" s="5"/>
      <c r="F289" s="5"/>
      <c r="G289" s="6"/>
      <c r="H289" s="5"/>
      <c r="I289" s="14" t="str">
        <f t="shared" si="9"/>
        <v/>
      </c>
      <c r="J289" s="5"/>
    </row>
    <row r="290" spans="1:10">
      <c r="A290" s="9"/>
      <c r="B290" s="10" t="str">
        <f t="shared" si="8"/>
        <v/>
      </c>
      <c r="C290" s="5"/>
      <c r="D290" s="5"/>
      <c r="E290" s="5"/>
      <c r="F290" s="5"/>
      <c r="G290" s="6"/>
      <c r="H290" s="5"/>
      <c r="I290" s="14" t="str">
        <f t="shared" si="9"/>
        <v/>
      </c>
      <c r="J290" s="5"/>
    </row>
    <row r="291" spans="1:10">
      <c r="A291" s="9"/>
      <c r="B291" s="10" t="str">
        <f t="shared" si="8"/>
        <v/>
      </c>
      <c r="C291" s="5"/>
      <c r="D291" s="5"/>
      <c r="E291" s="5"/>
      <c r="F291" s="5"/>
      <c r="G291" s="6"/>
      <c r="H291" s="5"/>
      <c r="I291" s="14" t="str">
        <f t="shared" si="9"/>
        <v/>
      </c>
      <c r="J291" s="5"/>
    </row>
    <row r="292" spans="1:10">
      <c r="A292" s="9"/>
      <c r="B292" s="10" t="str">
        <f t="shared" si="8"/>
        <v/>
      </c>
      <c r="C292" s="5"/>
      <c r="D292" s="5"/>
      <c r="E292" s="5"/>
      <c r="F292" s="5"/>
      <c r="G292" s="6"/>
      <c r="H292" s="5"/>
      <c r="I292" s="14" t="str">
        <f t="shared" si="9"/>
        <v/>
      </c>
      <c r="J292" s="5"/>
    </row>
    <row r="293" spans="1:10">
      <c r="A293" s="9"/>
      <c r="B293" s="10" t="str">
        <f t="shared" si="8"/>
        <v/>
      </c>
      <c r="C293" s="5"/>
      <c r="D293" s="5"/>
      <c r="E293" s="5"/>
      <c r="F293" s="5"/>
      <c r="G293" s="6"/>
      <c r="H293" s="5"/>
      <c r="I293" s="14" t="str">
        <f t="shared" si="9"/>
        <v/>
      </c>
      <c r="J293" s="5"/>
    </row>
    <row r="294" spans="1:10">
      <c r="A294" s="9"/>
      <c r="B294" s="10" t="str">
        <f t="shared" si="8"/>
        <v/>
      </c>
      <c r="C294" s="5"/>
      <c r="D294" s="5"/>
      <c r="E294" s="5"/>
      <c r="F294" s="5"/>
      <c r="G294" s="6"/>
      <c r="H294" s="5"/>
      <c r="I294" s="14" t="str">
        <f t="shared" si="9"/>
        <v/>
      </c>
      <c r="J294" s="5"/>
    </row>
    <row r="295" spans="1:10">
      <c r="A295" s="9"/>
      <c r="B295" s="10" t="str">
        <f t="shared" si="8"/>
        <v/>
      </c>
      <c r="C295" s="5"/>
      <c r="D295" s="5"/>
      <c r="E295" s="5"/>
      <c r="F295" s="5"/>
      <c r="G295" s="6"/>
      <c r="H295" s="5"/>
      <c r="I295" s="14" t="str">
        <f t="shared" si="9"/>
        <v/>
      </c>
      <c r="J295" s="5"/>
    </row>
    <row r="296" spans="1:10">
      <c r="A296" s="9"/>
      <c r="B296" s="10" t="str">
        <f t="shared" si="8"/>
        <v/>
      </c>
      <c r="C296" s="5"/>
      <c r="D296" s="5"/>
      <c r="E296" s="5"/>
      <c r="F296" s="5"/>
      <c r="G296" s="6"/>
      <c r="H296" s="5"/>
      <c r="I296" s="14" t="str">
        <f t="shared" si="9"/>
        <v/>
      </c>
      <c r="J296" s="5"/>
    </row>
    <row r="297" spans="1:10">
      <c r="A297" s="9"/>
      <c r="B297" s="10" t="str">
        <f t="shared" si="8"/>
        <v/>
      </c>
      <c r="C297" s="5"/>
      <c r="D297" s="5"/>
      <c r="E297" s="5"/>
      <c r="F297" s="5"/>
      <c r="G297" s="6"/>
      <c r="H297" s="5"/>
      <c r="I297" s="14" t="str">
        <f t="shared" si="9"/>
        <v/>
      </c>
      <c r="J297" s="5"/>
    </row>
    <row r="298" spans="1:10">
      <c r="A298" s="9"/>
      <c r="B298" s="10" t="str">
        <f t="shared" si="8"/>
        <v/>
      </c>
      <c r="C298" s="5"/>
      <c r="D298" s="5"/>
      <c r="E298" s="5"/>
      <c r="F298" s="5"/>
      <c r="G298" s="6"/>
      <c r="H298" s="5"/>
      <c r="I298" s="14" t="str">
        <f t="shared" si="9"/>
        <v/>
      </c>
      <c r="J298" s="5"/>
    </row>
    <row r="299" spans="1:10">
      <c r="A299" s="9"/>
      <c r="B299" s="10" t="str">
        <f t="shared" si="8"/>
        <v/>
      </c>
      <c r="C299" s="5"/>
      <c r="D299" s="5"/>
      <c r="E299" s="5"/>
      <c r="F299" s="5"/>
      <c r="G299" s="6"/>
      <c r="H299" s="5"/>
      <c r="I299" s="14" t="str">
        <f t="shared" si="9"/>
        <v/>
      </c>
      <c r="J299" s="5"/>
    </row>
    <row r="300" spans="1:10">
      <c r="A300" s="9"/>
      <c r="B300" s="10" t="str">
        <f t="shared" si="8"/>
        <v/>
      </c>
      <c r="C300" s="5"/>
      <c r="D300" s="5"/>
      <c r="E300" s="5"/>
      <c r="F300" s="5"/>
      <c r="G300" s="6"/>
      <c r="H300" s="5"/>
      <c r="I300" s="14" t="str">
        <f t="shared" si="9"/>
        <v/>
      </c>
      <c r="J300" s="5"/>
    </row>
    <row r="301" spans="1:10">
      <c r="A301" s="9"/>
      <c r="B301" s="10" t="str">
        <f t="shared" si="8"/>
        <v/>
      </c>
      <c r="C301" s="5"/>
      <c r="D301" s="5"/>
      <c r="E301" s="5"/>
      <c r="F301" s="5"/>
      <c r="G301" s="6"/>
      <c r="H301" s="5"/>
      <c r="I301" s="14" t="str">
        <f t="shared" si="9"/>
        <v/>
      </c>
      <c r="J301" s="5"/>
    </row>
    <row r="302" spans="1:10">
      <c r="A302" s="9"/>
      <c r="B302" s="10" t="str">
        <f t="shared" si="8"/>
        <v/>
      </c>
      <c r="C302" s="5"/>
      <c r="D302" s="5"/>
      <c r="E302" s="5"/>
      <c r="F302" s="5"/>
      <c r="G302" s="6"/>
      <c r="H302" s="5"/>
      <c r="I302" s="14" t="str">
        <f t="shared" si="9"/>
        <v/>
      </c>
      <c r="J302" s="5"/>
    </row>
    <row r="303" spans="1:10">
      <c r="A303" s="9"/>
      <c r="B303" s="10" t="str">
        <f t="shared" si="8"/>
        <v/>
      </c>
      <c r="C303" s="5"/>
      <c r="D303" s="5"/>
      <c r="E303" s="5"/>
      <c r="F303" s="5"/>
      <c r="G303" s="6"/>
      <c r="H303" s="5"/>
      <c r="I303" s="14" t="str">
        <f t="shared" si="9"/>
        <v/>
      </c>
      <c r="J303" s="5"/>
    </row>
    <row r="304" spans="1:10">
      <c r="A304" s="9"/>
      <c r="B304" s="10" t="str">
        <f t="shared" si="8"/>
        <v/>
      </c>
      <c r="C304" s="5"/>
      <c r="D304" s="5"/>
      <c r="E304" s="5"/>
      <c r="F304" s="5"/>
      <c r="G304" s="6"/>
      <c r="H304" s="5"/>
      <c r="I304" s="14" t="str">
        <f t="shared" si="9"/>
        <v/>
      </c>
      <c r="J304" s="5"/>
    </row>
    <row r="305" spans="1:10">
      <c r="A305" s="9"/>
      <c r="B305" s="10" t="str">
        <f t="shared" si="8"/>
        <v/>
      </c>
      <c r="C305" s="5"/>
      <c r="D305" s="5"/>
      <c r="E305" s="5"/>
      <c r="F305" s="5"/>
      <c r="G305" s="6"/>
      <c r="H305" s="5"/>
      <c r="I305" s="14" t="str">
        <f t="shared" si="9"/>
        <v/>
      </c>
      <c r="J305" s="5"/>
    </row>
    <row r="306" spans="1:10">
      <c r="A306" s="9"/>
      <c r="B306" s="10" t="str">
        <f t="shared" si="8"/>
        <v/>
      </c>
      <c r="C306" s="5"/>
      <c r="D306" s="5"/>
      <c r="E306" s="5"/>
      <c r="F306" s="5"/>
      <c r="G306" s="6"/>
      <c r="H306" s="5"/>
      <c r="I306" s="14" t="str">
        <f t="shared" si="9"/>
        <v/>
      </c>
      <c r="J306" s="5"/>
    </row>
    <row r="307" spans="1:10">
      <c r="A307" s="9"/>
      <c r="B307" s="10" t="str">
        <f t="shared" si="8"/>
        <v/>
      </c>
      <c r="C307" s="5"/>
      <c r="D307" s="5"/>
      <c r="E307" s="5"/>
      <c r="F307" s="5"/>
      <c r="G307" s="6"/>
      <c r="H307" s="5"/>
      <c r="I307" s="14" t="str">
        <f t="shared" si="9"/>
        <v/>
      </c>
      <c r="J307" s="5"/>
    </row>
    <row r="308" spans="1:10">
      <c r="A308" s="9"/>
      <c r="B308" s="10" t="str">
        <f t="shared" si="8"/>
        <v/>
      </c>
      <c r="C308" s="5"/>
      <c r="D308" s="5"/>
      <c r="E308" s="5"/>
      <c r="F308" s="5"/>
      <c r="G308" s="6"/>
      <c r="H308" s="5"/>
      <c r="I308" s="14" t="str">
        <f t="shared" si="9"/>
        <v/>
      </c>
      <c r="J308" s="5"/>
    </row>
    <row r="309" spans="1:10">
      <c r="A309" s="9"/>
      <c r="B309" s="10" t="str">
        <f t="shared" si="8"/>
        <v/>
      </c>
      <c r="C309" s="5"/>
      <c r="D309" s="5"/>
      <c r="E309" s="5"/>
      <c r="F309" s="5"/>
      <c r="G309" s="6"/>
      <c r="H309" s="5"/>
      <c r="I309" s="14" t="str">
        <f t="shared" si="9"/>
        <v/>
      </c>
      <c r="J309" s="5"/>
    </row>
    <row r="310" spans="1:10">
      <c r="A310" s="9"/>
      <c r="B310" s="10" t="str">
        <f t="shared" si="8"/>
        <v/>
      </c>
      <c r="C310" s="5"/>
      <c r="D310" s="5"/>
      <c r="E310" s="5"/>
      <c r="F310" s="5"/>
      <c r="G310" s="6"/>
      <c r="H310" s="5"/>
      <c r="I310" s="14" t="str">
        <f t="shared" si="9"/>
        <v/>
      </c>
      <c r="J310" s="5"/>
    </row>
    <row r="311" spans="1:10">
      <c r="A311" s="9"/>
      <c r="B311" s="10" t="str">
        <f t="shared" si="8"/>
        <v/>
      </c>
      <c r="C311" s="5"/>
      <c r="D311" s="5"/>
      <c r="E311" s="5"/>
      <c r="F311" s="5"/>
      <c r="G311" s="6"/>
      <c r="H311" s="5"/>
      <c r="I311" s="14" t="str">
        <f t="shared" si="9"/>
        <v/>
      </c>
      <c r="J311" s="5"/>
    </row>
    <row r="312" spans="1:10">
      <c r="A312" s="9"/>
      <c r="B312" s="10" t="str">
        <f t="shared" si="8"/>
        <v/>
      </c>
      <c r="C312" s="5"/>
      <c r="D312" s="5"/>
      <c r="E312" s="5"/>
      <c r="F312" s="5"/>
      <c r="G312" s="6"/>
      <c r="H312" s="5"/>
      <c r="I312" s="14" t="str">
        <f t="shared" si="9"/>
        <v/>
      </c>
      <c r="J312" s="5"/>
    </row>
    <row r="313" spans="1:10">
      <c r="A313" s="9"/>
      <c r="B313" s="10" t="str">
        <f t="shared" si="8"/>
        <v/>
      </c>
      <c r="C313" s="5"/>
      <c r="D313" s="5"/>
      <c r="E313" s="5"/>
      <c r="F313" s="5"/>
      <c r="G313" s="6"/>
      <c r="H313" s="5"/>
      <c r="I313" s="14" t="str">
        <f t="shared" si="9"/>
        <v/>
      </c>
      <c r="J313" s="5"/>
    </row>
    <row r="314" spans="1:10">
      <c r="A314" s="9"/>
      <c r="B314" s="10" t="str">
        <f t="shared" si="8"/>
        <v/>
      </c>
      <c r="C314" s="5"/>
      <c r="D314" s="5"/>
      <c r="E314" s="5"/>
      <c r="F314" s="5"/>
      <c r="G314" s="6"/>
      <c r="H314" s="5"/>
      <c r="I314" s="14" t="str">
        <f t="shared" si="9"/>
        <v/>
      </c>
      <c r="J314" s="5"/>
    </row>
    <row r="315" spans="1:10">
      <c r="A315" s="9"/>
      <c r="B315" s="10" t="str">
        <f t="shared" si="8"/>
        <v/>
      </c>
      <c r="C315" s="5"/>
      <c r="D315" s="5"/>
      <c r="E315" s="5"/>
      <c r="F315" s="5"/>
      <c r="G315" s="6"/>
      <c r="H315" s="5"/>
      <c r="I315" s="14" t="str">
        <f t="shared" si="9"/>
        <v/>
      </c>
      <c r="J315" s="5"/>
    </row>
    <row r="316" spans="1:10">
      <c r="A316" s="9"/>
      <c r="B316" s="10" t="str">
        <f t="shared" si="8"/>
        <v/>
      </c>
      <c r="C316" s="5"/>
      <c r="D316" s="5"/>
      <c r="E316" s="5"/>
      <c r="F316" s="5"/>
      <c r="G316" s="6"/>
      <c r="H316" s="5"/>
      <c r="I316" s="14" t="str">
        <f t="shared" si="9"/>
        <v/>
      </c>
      <c r="J316" s="5"/>
    </row>
    <row r="317" spans="1:10">
      <c r="A317" s="9"/>
      <c r="B317" s="10" t="str">
        <f t="shared" si="8"/>
        <v/>
      </c>
      <c r="C317" s="5"/>
      <c r="D317" s="5"/>
      <c r="E317" s="5"/>
      <c r="F317" s="5"/>
      <c r="G317" s="6"/>
      <c r="H317" s="5"/>
      <c r="I317" s="14" t="str">
        <f t="shared" si="9"/>
        <v/>
      </c>
      <c r="J317" s="5"/>
    </row>
    <row r="318" spans="1:10">
      <c r="A318" s="9"/>
      <c r="B318" s="10" t="str">
        <f t="shared" si="8"/>
        <v/>
      </c>
      <c r="C318" s="5"/>
      <c r="D318" s="5"/>
      <c r="E318" s="5"/>
      <c r="F318" s="5"/>
      <c r="G318" s="6"/>
      <c r="H318" s="5"/>
      <c r="I318" s="14" t="str">
        <f t="shared" si="9"/>
        <v/>
      </c>
      <c r="J318" s="5"/>
    </row>
    <row r="319" spans="1:10">
      <c r="A319" s="9"/>
      <c r="B319" s="10" t="str">
        <f t="shared" si="8"/>
        <v/>
      </c>
      <c r="C319" s="5"/>
      <c r="D319" s="5"/>
      <c r="E319" s="5"/>
      <c r="F319" s="5"/>
      <c r="G319" s="6"/>
      <c r="H319" s="5"/>
      <c r="I319" s="14" t="str">
        <f t="shared" si="9"/>
        <v/>
      </c>
      <c r="J319" s="5"/>
    </row>
    <row r="320" spans="1:10">
      <c r="A320" s="9"/>
      <c r="B320" s="10" t="str">
        <f t="shared" si="8"/>
        <v/>
      </c>
      <c r="C320" s="5"/>
      <c r="D320" s="5"/>
      <c r="E320" s="5"/>
      <c r="F320" s="5"/>
      <c r="G320" s="6"/>
      <c r="H320" s="5"/>
      <c r="I320" s="14" t="str">
        <f t="shared" si="9"/>
        <v/>
      </c>
      <c r="J320" s="5"/>
    </row>
    <row r="321" spans="1:10">
      <c r="A321" s="9"/>
      <c r="B321" s="10" t="str">
        <f t="shared" si="8"/>
        <v/>
      </c>
      <c r="C321" s="5"/>
      <c r="D321" s="5"/>
      <c r="E321" s="5"/>
      <c r="F321" s="5"/>
      <c r="G321" s="6"/>
      <c r="H321" s="5"/>
      <c r="I321" s="14" t="str">
        <f t="shared" si="9"/>
        <v/>
      </c>
      <c r="J321" s="5"/>
    </row>
    <row r="322" spans="1:10">
      <c r="A322" s="9"/>
      <c r="B322" s="10" t="str">
        <f t="shared" ref="B322:B385" si="10">IF(A322="","",YEAR(A322)&amp;"/"&amp;RIGHT("0"&amp;MONTH(A322),2))</f>
        <v/>
      </c>
      <c r="C322" s="5"/>
      <c r="D322" s="5"/>
      <c r="E322" s="5"/>
      <c r="F322" s="5"/>
      <c r="G322" s="6"/>
      <c r="H322" s="5"/>
      <c r="I322" s="14" t="str">
        <f t="shared" ref="I322:I385" si="11">IF(OR(G322="",H322=""),"",G322*H322)</f>
        <v/>
      </c>
      <c r="J322" s="5"/>
    </row>
    <row r="323" spans="1:10">
      <c r="A323" s="9"/>
      <c r="B323" s="10" t="str">
        <f t="shared" si="10"/>
        <v/>
      </c>
      <c r="C323" s="5"/>
      <c r="D323" s="5"/>
      <c r="E323" s="5"/>
      <c r="F323" s="5"/>
      <c r="G323" s="6"/>
      <c r="H323" s="5"/>
      <c r="I323" s="14" t="str">
        <f t="shared" si="11"/>
        <v/>
      </c>
      <c r="J323" s="5"/>
    </row>
    <row r="324" spans="1:10">
      <c r="A324" s="9"/>
      <c r="B324" s="10" t="str">
        <f t="shared" si="10"/>
        <v/>
      </c>
      <c r="C324" s="5"/>
      <c r="D324" s="5"/>
      <c r="E324" s="5"/>
      <c r="F324" s="5"/>
      <c r="G324" s="6"/>
      <c r="H324" s="5"/>
      <c r="I324" s="14" t="str">
        <f t="shared" si="11"/>
        <v/>
      </c>
      <c r="J324" s="5"/>
    </row>
    <row r="325" spans="1:10">
      <c r="A325" s="9"/>
      <c r="B325" s="10" t="str">
        <f t="shared" si="10"/>
        <v/>
      </c>
      <c r="C325" s="5"/>
      <c r="D325" s="5"/>
      <c r="E325" s="5"/>
      <c r="F325" s="5"/>
      <c r="G325" s="6"/>
      <c r="H325" s="5"/>
      <c r="I325" s="14" t="str">
        <f t="shared" si="11"/>
        <v/>
      </c>
      <c r="J325" s="5"/>
    </row>
    <row r="326" spans="1:10">
      <c r="A326" s="9"/>
      <c r="B326" s="10" t="str">
        <f t="shared" si="10"/>
        <v/>
      </c>
      <c r="C326" s="5"/>
      <c r="D326" s="5"/>
      <c r="E326" s="5"/>
      <c r="F326" s="5"/>
      <c r="G326" s="6"/>
      <c r="H326" s="5"/>
      <c r="I326" s="14" t="str">
        <f t="shared" si="11"/>
        <v/>
      </c>
      <c r="J326" s="5"/>
    </row>
    <row r="327" spans="1:10">
      <c r="A327" s="9"/>
      <c r="B327" s="10" t="str">
        <f t="shared" si="10"/>
        <v/>
      </c>
      <c r="C327" s="5"/>
      <c r="D327" s="5"/>
      <c r="E327" s="5"/>
      <c r="F327" s="5"/>
      <c r="G327" s="6"/>
      <c r="H327" s="5"/>
      <c r="I327" s="14" t="str">
        <f t="shared" si="11"/>
        <v/>
      </c>
      <c r="J327" s="5"/>
    </row>
    <row r="328" spans="1:10">
      <c r="A328" s="9"/>
      <c r="B328" s="10" t="str">
        <f t="shared" si="10"/>
        <v/>
      </c>
      <c r="C328" s="5"/>
      <c r="D328" s="5"/>
      <c r="E328" s="5"/>
      <c r="F328" s="5"/>
      <c r="G328" s="6"/>
      <c r="H328" s="5"/>
      <c r="I328" s="14" t="str">
        <f t="shared" si="11"/>
        <v/>
      </c>
      <c r="J328" s="5"/>
    </row>
    <row r="329" spans="1:10">
      <c r="A329" s="9"/>
      <c r="B329" s="10" t="str">
        <f t="shared" si="10"/>
        <v/>
      </c>
      <c r="C329" s="5"/>
      <c r="D329" s="5"/>
      <c r="E329" s="5"/>
      <c r="F329" s="5"/>
      <c r="G329" s="6"/>
      <c r="H329" s="5"/>
      <c r="I329" s="14" t="str">
        <f t="shared" si="11"/>
        <v/>
      </c>
      <c r="J329" s="5"/>
    </row>
    <row r="330" spans="1:10">
      <c r="A330" s="9"/>
      <c r="B330" s="10" t="str">
        <f t="shared" si="10"/>
        <v/>
      </c>
      <c r="C330" s="5"/>
      <c r="D330" s="5"/>
      <c r="E330" s="5"/>
      <c r="F330" s="5"/>
      <c r="G330" s="6"/>
      <c r="H330" s="5"/>
      <c r="I330" s="14" t="str">
        <f t="shared" si="11"/>
        <v/>
      </c>
      <c r="J330" s="5"/>
    </row>
    <row r="331" spans="1:10">
      <c r="A331" s="9"/>
      <c r="B331" s="10" t="str">
        <f t="shared" si="10"/>
        <v/>
      </c>
      <c r="C331" s="5"/>
      <c r="D331" s="5"/>
      <c r="E331" s="5"/>
      <c r="F331" s="5"/>
      <c r="G331" s="6"/>
      <c r="H331" s="5"/>
      <c r="I331" s="14" t="str">
        <f t="shared" si="11"/>
        <v/>
      </c>
      <c r="J331" s="5"/>
    </row>
    <row r="332" spans="1:10">
      <c r="A332" s="9"/>
      <c r="B332" s="10" t="str">
        <f t="shared" si="10"/>
        <v/>
      </c>
      <c r="C332" s="5"/>
      <c r="D332" s="5"/>
      <c r="E332" s="5"/>
      <c r="F332" s="5"/>
      <c r="G332" s="6"/>
      <c r="H332" s="5"/>
      <c r="I332" s="14" t="str">
        <f t="shared" si="11"/>
        <v/>
      </c>
      <c r="J332" s="5"/>
    </row>
    <row r="333" spans="1:10">
      <c r="A333" s="9"/>
      <c r="B333" s="10" t="str">
        <f t="shared" si="10"/>
        <v/>
      </c>
      <c r="C333" s="5"/>
      <c r="D333" s="5"/>
      <c r="E333" s="5"/>
      <c r="F333" s="5"/>
      <c r="G333" s="6"/>
      <c r="H333" s="5"/>
      <c r="I333" s="14" t="str">
        <f t="shared" si="11"/>
        <v/>
      </c>
      <c r="J333" s="5"/>
    </row>
    <row r="334" spans="1:10">
      <c r="A334" s="9"/>
      <c r="B334" s="10" t="str">
        <f t="shared" si="10"/>
        <v/>
      </c>
      <c r="C334" s="5"/>
      <c r="D334" s="5"/>
      <c r="E334" s="5"/>
      <c r="F334" s="5"/>
      <c r="G334" s="6"/>
      <c r="H334" s="5"/>
      <c r="I334" s="14" t="str">
        <f t="shared" si="11"/>
        <v/>
      </c>
      <c r="J334" s="5"/>
    </row>
    <row r="335" spans="1:10">
      <c r="A335" s="9"/>
      <c r="B335" s="10" t="str">
        <f t="shared" si="10"/>
        <v/>
      </c>
      <c r="C335" s="5"/>
      <c r="D335" s="5"/>
      <c r="E335" s="5"/>
      <c r="F335" s="5"/>
      <c r="G335" s="6"/>
      <c r="H335" s="5"/>
      <c r="I335" s="14" t="str">
        <f t="shared" si="11"/>
        <v/>
      </c>
      <c r="J335" s="5"/>
    </row>
    <row r="336" spans="1:10">
      <c r="A336" s="9"/>
      <c r="B336" s="10" t="str">
        <f t="shared" si="10"/>
        <v/>
      </c>
      <c r="C336" s="5"/>
      <c r="D336" s="5"/>
      <c r="E336" s="5"/>
      <c r="F336" s="5"/>
      <c r="G336" s="6"/>
      <c r="H336" s="5"/>
      <c r="I336" s="14" t="str">
        <f t="shared" si="11"/>
        <v/>
      </c>
      <c r="J336" s="5"/>
    </row>
    <row r="337" spans="1:10">
      <c r="A337" s="9"/>
      <c r="B337" s="10" t="str">
        <f t="shared" si="10"/>
        <v/>
      </c>
      <c r="C337" s="5"/>
      <c r="D337" s="5"/>
      <c r="E337" s="5"/>
      <c r="F337" s="5"/>
      <c r="G337" s="6"/>
      <c r="H337" s="5"/>
      <c r="I337" s="14" t="str">
        <f t="shared" si="11"/>
        <v/>
      </c>
      <c r="J337" s="5"/>
    </row>
    <row r="338" spans="1:10">
      <c r="A338" s="9"/>
      <c r="B338" s="10" t="str">
        <f t="shared" si="10"/>
        <v/>
      </c>
      <c r="C338" s="5"/>
      <c r="D338" s="5"/>
      <c r="E338" s="5"/>
      <c r="F338" s="5"/>
      <c r="G338" s="6"/>
      <c r="H338" s="5"/>
      <c r="I338" s="14" t="str">
        <f t="shared" si="11"/>
        <v/>
      </c>
      <c r="J338" s="5"/>
    </row>
    <row r="339" spans="1:10">
      <c r="A339" s="9"/>
      <c r="B339" s="10" t="str">
        <f t="shared" si="10"/>
        <v/>
      </c>
      <c r="C339" s="5"/>
      <c r="D339" s="5"/>
      <c r="E339" s="5"/>
      <c r="F339" s="5"/>
      <c r="G339" s="6"/>
      <c r="H339" s="5"/>
      <c r="I339" s="14" t="str">
        <f t="shared" si="11"/>
        <v/>
      </c>
      <c r="J339" s="5"/>
    </row>
    <row r="340" spans="1:10">
      <c r="A340" s="9"/>
      <c r="B340" s="10" t="str">
        <f t="shared" si="10"/>
        <v/>
      </c>
      <c r="C340" s="5"/>
      <c r="D340" s="5"/>
      <c r="E340" s="5"/>
      <c r="F340" s="5"/>
      <c r="G340" s="6"/>
      <c r="H340" s="5"/>
      <c r="I340" s="14" t="str">
        <f t="shared" si="11"/>
        <v/>
      </c>
      <c r="J340" s="5"/>
    </row>
    <row r="341" spans="1:10">
      <c r="A341" s="9"/>
      <c r="B341" s="10" t="str">
        <f t="shared" si="10"/>
        <v/>
      </c>
      <c r="C341" s="5"/>
      <c r="D341" s="5"/>
      <c r="E341" s="5"/>
      <c r="F341" s="5"/>
      <c r="G341" s="6"/>
      <c r="H341" s="5"/>
      <c r="I341" s="14" t="str">
        <f t="shared" si="11"/>
        <v/>
      </c>
      <c r="J341" s="5"/>
    </row>
    <row r="342" spans="1:10">
      <c r="A342" s="9"/>
      <c r="B342" s="10" t="str">
        <f t="shared" si="10"/>
        <v/>
      </c>
      <c r="C342" s="5"/>
      <c r="D342" s="5"/>
      <c r="E342" s="5"/>
      <c r="F342" s="5"/>
      <c r="G342" s="6"/>
      <c r="H342" s="5"/>
      <c r="I342" s="14" t="str">
        <f t="shared" si="11"/>
        <v/>
      </c>
      <c r="J342" s="5"/>
    </row>
    <row r="343" spans="1:10">
      <c r="A343" s="9"/>
      <c r="B343" s="10" t="str">
        <f t="shared" si="10"/>
        <v/>
      </c>
      <c r="C343" s="5"/>
      <c r="D343" s="5"/>
      <c r="E343" s="5"/>
      <c r="F343" s="5"/>
      <c r="G343" s="6"/>
      <c r="H343" s="5"/>
      <c r="I343" s="14" t="str">
        <f t="shared" si="11"/>
        <v/>
      </c>
      <c r="J343" s="5"/>
    </row>
    <row r="344" spans="1:10">
      <c r="A344" s="9"/>
      <c r="B344" s="10" t="str">
        <f t="shared" si="10"/>
        <v/>
      </c>
      <c r="C344" s="5"/>
      <c r="D344" s="5"/>
      <c r="E344" s="5"/>
      <c r="F344" s="5"/>
      <c r="G344" s="6"/>
      <c r="H344" s="5"/>
      <c r="I344" s="14" t="str">
        <f t="shared" si="11"/>
        <v/>
      </c>
      <c r="J344" s="5"/>
    </row>
    <row r="345" spans="1:10">
      <c r="A345" s="9"/>
      <c r="B345" s="10" t="str">
        <f t="shared" si="10"/>
        <v/>
      </c>
      <c r="C345" s="5"/>
      <c r="D345" s="5"/>
      <c r="E345" s="5"/>
      <c r="F345" s="5"/>
      <c r="G345" s="6"/>
      <c r="H345" s="5"/>
      <c r="I345" s="14" t="str">
        <f t="shared" si="11"/>
        <v/>
      </c>
      <c r="J345" s="5"/>
    </row>
    <row r="346" spans="1:10">
      <c r="A346" s="9"/>
      <c r="B346" s="10" t="str">
        <f t="shared" si="10"/>
        <v/>
      </c>
      <c r="C346" s="5"/>
      <c r="D346" s="5"/>
      <c r="E346" s="5"/>
      <c r="F346" s="5"/>
      <c r="G346" s="6"/>
      <c r="H346" s="5"/>
      <c r="I346" s="14" t="str">
        <f t="shared" si="11"/>
        <v/>
      </c>
      <c r="J346" s="5"/>
    </row>
    <row r="347" spans="1:10">
      <c r="A347" s="9"/>
      <c r="B347" s="10" t="str">
        <f t="shared" si="10"/>
        <v/>
      </c>
      <c r="C347" s="5"/>
      <c r="D347" s="5"/>
      <c r="E347" s="5"/>
      <c r="F347" s="5"/>
      <c r="G347" s="6"/>
      <c r="H347" s="5"/>
      <c r="I347" s="14" t="str">
        <f t="shared" si="11"/>
        <v/>
      </c>
      <c r="J347" s="5"/>
    </row>
    <row r="348" spans="1:10">
      <c r="A348" s="9"/>
      <c r="B348" s="10" t="str">
        <f t="shared" si="10"/>
        <v/>
      </c>
      <c r="C348" s="5"/>
      <c r="D348" s="5"/>
      <c r="E348" s="5"/>
      <c r="F348" s="5"/>
      <c r="G348" s="6"/>
      <c r="H348" s="5"/>
      <c r="I348" s="14" t="str">
        <f t="shared" si="11"/>
        <v/>
      </c>
      <c r="J348" s="5"/>
    </row>
    <row r="349" spans="1:10">
      <c r="A349" s="9"/>
      <c r="B349" s="10" t="str">
        <f t="shared" si="10"/>
        <v/>
      </c>
      <c r="C349" s="5"/>
      <c r="D349" s="5"/>
      <c r="E349" s="5"/>
      <c r="F349" s="5"/>
      <c r="G349" s="6"/>
      <c r="H349" s="5"/>
      <c r="I349" s="14" t="str">
        <f t="shared" si="11"/>
        <v/>
      </c>
      <c r="J349" s="5"/>
    </row>
    <row r="350" spans="1:10">
      <c r="A350" s="9"/>
      <c r="B350" s="10" t="str">
        <f t="shared" si="10"/>
        <v/>
      </c>
      <c r="C350" s="5"/>
      <c r="D350" s="5"/>
      <c r="E350" s="5"/>
      <c r="F350" s="5"/>
      <c r="G350" s="6"/>
      <c r="H350" s="5"/>
      <c r="I350" s="14" t="str">
        <f t="shared" si="11"/>
        <v/>
      </c>
      <c r="J350" s="5"/>
    </row>
    <row r="351" spans="1:10">
      <c r="A351" s="9"/>
      <c r="B351" s="10" t="str">
        <f t="shared" si="10"/>
        <v/>
      </c>
      <c r="C351" s="5"/>
      <c r="D351" s="5"/>
      <c r="E351" s="5"/>
      <c r="F351" s="5"/>
      <c r="G351" s="6"/>
      <c r="H351" s="5"/>
      <c r="I351" s="14" t="str">
        <f t="shared" si="11"/>
        <v/>
      </c>
      <c r="J351" s="5"/>
    </row>
    <row r="352" spans="1:10">
      <c r="A352" s="9"/>
      <c r="B352" s="10" t="str">
        <f t="shared" si="10"/>
        <v/>
      </c>
      <c r="C352" s="5"/>
      <c r="D352" s="5"/>
      <c r="E352" s="5"/>
      <c r="F352" s="5"/>
      <c r="G352" s="6"/>
      <c r="H352" s="5"/>
      <c r="I352" s="14" t="str">
        <f t="shared" si="11"/>
        <v/>
      </c>
      <c r="J352" s="5"/>
    </row>
    <row r="353" spans="1:10">
      <c r="A353" s="9"/>
      <c r="B353" s="10" t="str">
        <f t="shared" si="10"/>
        <v/>
      </c>
      <c r="C353" s="5"/>
      <c r="D353" s="5"/>
      <c r="E353" s="5"/>
      <c r="F353" s="5"/>
      <c r="G353" s="6"/>
      <c r="H353" s="5"/>
      <c r="I353" s="14" t="str">
        <f t="shared" si="11"/>
        <v/>
      </c>
      <c r="J353" s="5"/>
    </row>
    <row r="354" spans="1:10">
      <c r="A354" s="9"/>
      <c r="B354" s="10" t="str">
        <f t="shared" si="10"/>
        <v/>
      </c>
      <c r="C354" s="5"/>
      <c r="D354" s="5"/>
      <c r="E354" s="5"/>
      <c r="F354" s="5"/>
      <c r="G354" s="6"/>
      <c r="H354" s="5"/>
      <c r="I354" s="14" t="str">
        <f t="shared" si="11"/>
        <v/>
      </c>
      <c r="J354" s="5"/>
    </row>
    <row r="355" spans="1:10">
      <c r="A355" s="9"/>
      <c r="B355" s="10" t="str">
        <f t="shared" si="10"/>
        <v/>
      </c>
      <c r="C355" s="5"/>
      <c r="D355" s="5"/>
      <c r="E355" s="5"/>
      <c r="F355" s="5"/>
      <c r="G355" s="6"/>
      <c r="H355" s="5"/>
      <c r="I355" s="14" t="str">
        <f t="shared" si="11"/>
        <v/>
      </c>
      <c r="J355" s="5"/>
    </row>
    <row r="356" spans="1:10">
      <c r="A356" s="9"/>
      <c r="B356" s="10" t="str">
        <f t="shared" si="10"/>
        <v/>
      </c>
      <c r="C356" s="5"/>
      <c r="D356" s="5"/>
      <c r="E356" s="5"/>
      <c r="F356" s="5"/>
      <c r="G356" s="6"/>
      <c r="H356" s="5"/>
      <c r="I356" s="14" t="str">
        <f t="shared" si="11"/>
        <v/>
      </c>
      <c r="J356" s="5"/>
    </row>
    <row r="357" spans="1:10">
      <c r="A357" s="9"/>
      <c r="B357" s="10" t="str">
        <f t="shared" si="10"/>
        <v/>
      </c>
      <c r="C357" s="5"/>
      <c r="D357" s="5"/>
      <c r="E357" s="5"/>
      <c r="F357" s="5"/>
      <c r="G357" s="6"/>
      <c r="H357" s="5"/>
      <c r="I357" s="14" t="str">
        <f t="shared" si="11"/>
        <v/>
      </c>
      <c r="J357" s="5"/>
    </row>
    <row r="358" spans="1:10">
      <c r="A358" s="9"/>
      <c r="B358" s="10" t="str">
        <f t="shared" si="10"/>
        <v/>
      </c>
      <c r="C358" s="5"/>
      <c r="D358" s="5"/>
      <c r="E358" s="5"/>
      <c r="F358" s="5"/>
      <c r="G358" s="6"/>
      <c r="H358" s="5"/>
      <c r="I358" s="14" t="str">
        <f t="shared" si="11"/>
        <v/>
      </c>
      <c r="J358" s="5"/>
    </row>
    <row r="359" spans="1:10">
      <c r="A359" s="9"/>
      <c r="B359" s="10" t="str">
        <f t="shared" si="10"/>
        <v/>
      </c>
      <c r="C359" s="5"/>
      <c r="D359" s="5"/>
      <c r="E359" s="5"/>
      <c r="F359" s="5"/>
      <c r="G359" s="6"/>
      <c r="H359" s="5"/>
      <c r="I359" s="14" t="str">
        <f t="shared" si="11"/>
        <v/>
      </c>
      <c r="J359" s="5"/>
    </row>
    <row r="360" spans="1:10">
      <c r="A360" s="9"/>
      <c r="B360" s="10" t="str">
        <f t="shared" si="10"/>
        <v/>
      </c>
      <c r="C360" s="5"/>
      <c r="D360" s="5"/>
      <c r="E360" s="5"/>
      <c r="F360" s="5"/>
      <c r="G360" s="6"/>
      <c r="H360" s="5"/>
      <c r="I360" s="14" t="str">
        <f t="shared" si="11"/>
        <v/>
      </c>
      <c r="J360" s="5"/>
    </row>
    <row r="361" spans="1:10">
      <c r="A361" s="9"/>
      <c r="B361" s="10" t="str">
        <f t="shared" si="10"/>
        <v/>
      </c>
      <c r="C361" s="5"/>
      <c r="D361" s="5"/>
      <c r="E361" s="5"/>
      <c r="F361" s="5"/>
      <c r="G361" s="6"/>
      <c r="H361" s="5"/>
      <c r="I361" s="14" t="str">
        <f t="shared" si="11"/>
        <v/>
      </c>
      <c r="J361" s="5"/>
    </row>
    <row r="362" spans="1:10">
      <c r="A362" s="9"/>
      <c r="B362" s="10" t="str">
        <f t="shared" si="10"/>
        <v/>
      </c>
      <c r="C362" s="5"/>
      <c r="D362" s="5"/>
      <c r="E362" s="5"/>
      <c r="F362" s="5"/>
      <c r="G362" s="6"/>
      <c r="H362" s="5"/>
      <c r="I362" s="14" t="str">
        <f t="shared" si="11"/>
        <v/>
      </c>
      <c r="J362" s="5"/>
    </row>
    <row r="363" spans="1:10">
      <c r="A363" s="9"/>
      <c r="B363" s="10" t="str">
        <f t="shared" si="10"/>
        <v/>
      </c>
      <c r="C363" s="5"/>
      <c r="D363" s="5"/>
      <c r="E363" s="5"/>
      <c r="F363" s="5"/>
      <c r="G363" s="6"/>
      <c r="H363" s="5"/>
      <c r="I363" s="14" t="str">
        <f t="shared" si="11"/>
        <v/>
      </c>
      <c r="J363" s="5"/>
    </row>
    <row r="364" spans="1:10">
      <c r="A364" s="9"/>
      <c r="B364" s="10" t="str">
        <f t="shared" si="10"/>
        <v/>
      </c>
      <c r="C364" s="5"/>
      <c r="D364" s="5"/>
      <c r="E364" s="5"/>
      <c r="F364" s="5"/>
      <c r="G364" s="6"/>
      <c r="H364" s="5"/>
      <c r="I364" s="14" t="str">
        <f t="shared" si="11"/>
        <v/>
      </c>
      <c r="J364" s="5"/>
    </row>
    <row r="365" spans="1:10">
      <c r="A365" s="9"/>
      <c r="B365" s="10" t="str">
        <f t="shared" si="10"/>
        <v/>
      </c>
      <c r="C365" s="5"/>
      <c r="D365" s="5"/>
      <c r="E365" s="5"/>
      <c r="F365" s="5"/>
      <c r="G365" s="6"/>
      <c r="H365" s="5"/>
      <c r="I365" s="14" t="str">
        <f t="shared" si="11"/>
        <v/>
      </c>
      <c r="J365" s="5"/>
    </row>
    <row r="366" spans="1:10">
      <c r="A366" s="9"/>
      <c r="B366" s="10" t="str">
        <f t="shared" si="10"/>
        <v/>
      </c>
      <c r="C366" s="5"/>
      <c r="D366" s="5"/>
      <c r="E366" s="5"/>
      <c r="F366" s="5"/>
      <c r="G366" s="6"/>
      <c r="H366" s="5"/>
      <c r="I366" s="14" t="str">
        <f t="shared" si="11"/>
        <v/>
      </c>
      <c r="J366" s="5"/>
    </row>
    <row r="367" spans="1:10">
      <c r="A367" s="9"/>
      <c r="B367" s="10" t="str">
        <f t="shared" si="10"/>
        <v/>
      </c>
      <c r="C367" s="5"/>
      <c r="D367" s="5"/>
      <c r="E367" s="5"/>
      <c r="F367" s="5"/>
      <c r="G367" s="6"/>
      <c r="H367" s="5"/>
      <c r="I367" s="14" t="str">
        <f t="shared" si="11"/>
        <v/>
      </c>
      <c r="J367" s="5"/>
    </row>
    <row r="368" spans="1:10">
      <c r="A368" s="9"/>
      <c r="B368" s="10" t="str">
        <f t="shared" si="10"/>
        <v/>
      </c>
      <c r="C368" s="5"/>
      <c r="D368" s="5"/>
      <c r="E368" s="5"/>
      <c r="F368" s="5"/>
      <c r="G368" s="6"/>
      <c r="H368" s="5"/>
      <c r="I368" s="14" t="str">
        <f t="shared" si="11"/>
        <v/>
      </c>
      <c r="J368" s="5"/>
    </row>
    <row r="369" spans="1:10">
      <c r="A369" s="9"/>
      <c r="B369" s="10" t="str">
        <f t="shared" si="10"/>
        <v/>
      </c>
      <c r="C369" s="5"/>
      <c r="D369" s="5"/>
      <c r="E369" s="5"/>
      <c r="F369" s="5"/>
      <c r="G369" s="6"/>
      <c r="H369" s="5"/>
      <c r="I369" s="14" t="str">
        <f t="shared" si="11"/>
        <v/>
      </c>
      <c r="J369" s="5"/>
    </row>
    <row r="370" spans="1:10">
      <c r="A370" s="9"/>
      <c r="B370" s="10" t="str">
        <f t="shared" si="10"/>
        <v/>
      </c>
      <c r="C370" s="5"/>
      <c r="D370" s="5"/>
      <c r="E370" s="5"/>
      <c r="F370" s="5"/>
      <c r="G370" s="6"/>
      <c r="H370" s="5"/>
      <c r="I370" s="14" t="str">
        <f t="shared" si="11"/>
        <v/>
      </c>
      <c r="J370" s="5"/>
    </row>
    <row r="371" spans="1:10">
      <c r="A371" s="9"/>
      <c r="B371" s="10" t="str">
        <f t="shared" si="10"/>
        <v/>
      </c>
      <c r="C371" s="5"/>
      <c r="D371" s="5"/>
      <c r="E371" s="5"/>
      <c r="F371" s="5"/>
      <c r="G371" s="6"/>
      <c r="H371" s="5"/>
      <c r="I371" s="14" t="str">
        <f t="shared" si="11"/>
        <v/>
      </c>
      <c r="J371" s="5"/>
    </row>
    <row r="372" spans="1:10">
      <c r="A372" s="9"/>
      <c r="B372" s="10" t="str">
        <f t="shared" si="10"/>
        <v/>
      </c>
      <c r="C372" s="5"/>
      <c r="D372" s="5"/>
      <c r="E372" s="5"/>
      <c r="F372" s="5"/>
      <c r="G372" s="6"/>
      <c r="H372" s="5"/>
      <c r="I372" s="14" t="str">
        <f t="shared" si="11"/>
        <v/>
      </c>
      <c r="J372" s="5"/>
    </row>
    <row r="373" spans="1:10">
      <c r="A373" s="9"/>
      <c r="B373" s="10" t="str">
        <f t="shared" si="10"/>
        <v/>
      </c>
      <c r="C373" s="5"/>
      <c r="D373" s="5"/>
      <c r="E373" s="5"/>
      <c r="F373" s="5"/>
      <c r="G373" s="6"/>
      <c r="H373" s="5"/>
      <c r="I373" s="14" t="str">
        <f t="shared" si="11"/>
        <v/>
      </c>
      <c r="J373" s="5"/>
    </row>
    <row r="374" spans="1:10">
      <c r="A374" s="9"/>
      <c r="B374" s="10" t="str">
        <f t="shared" si="10"/>
        <v/>
      </c>
      <c r="C374" s="5"/>
      <c r="D374" s="5"/>
      <c r="E374" s="5"/>
      <c r="F374" s="5"/>
      <c r="G374" s="6"/>
      <c r="H374" s="5"/>
      <c r="I374" s="14" t="str">
        <f t="shared" si="11"/>
        <v/>
      </c>
      <c r="J374" s="5"/>
    </row>
    <row r="375" spans="1:10">
      <c r="A375" s="9"/>
      <c r="B375" s="10" t="str">
        <f t="shared" si="10"/>
        <v/>
      </c>
      <c r="C375" s="5"/>
      <c r="D375" s="5"/>
      <c r="E375" s="5"/>
      <c r="F375" s="5"/>
      <c r="G375" s="6"/>
      <c r="H375" s="5"/>
      <c r="I375" s="14" t="str">
        <f t="shared" si="11"/>
        <v/>
      </c>
      <c r="J375" s="5"/>
    </row>
    <row r="376" spans="1:10">
      <c r="A376" s="9"/>
      <c r="B376" s="10" t="str">
        <f t="shared" si="10"/>
        <v/>
      </c>
      <c r="C376" s="5"/>
      <c r="D376" s="5"/>
      <c r="E376" s="5"/>
      <c r="F376" s="5"/>
      <c r="G376" s="6"/>
      <c r="H376" s="5"/>
      <c r="I376" s="14" t="str">
        <f t="shared" si="11"/>
        <v/>
      </c>
      <c r="J376" s="5"/>
    </row>
    <row r="377" spans="1:10">
      <c r="A377" s="9"/>
      <c r="B377" s="10" t="str">
        <f t="shared" si="10"/>
        <v/>
      </c>
      <c r="C377" s="5"/>
      <c r="D377" s="5"/>
      <c r="E377" s="5"/>
      <c r="F377" s="5"/>
      <c r="G377" s="6"/>
      <c r="H377" s="5"/>
      <c r="I377" s="14" t="str">
        <f t="shared" si="11"/>
        <v/>
      </c>
      <c r="J377" s="5"/>
    </row>
    <row r="378" spans="1:10">
      <c r="A378" s="9"/>
      <c r="B378" s="10" t="str">
        <f t="shared" si="10"/>
        <v/>
      </c>
      <c r="C378" s="5"/>
      <c r="D378" s="5"/>
      <c r="E378" s="5"/>
      <c r="F378" s="5"/>
      <c r="G378" s="6"/>
      <c r="H378" s="5"/>
      <c r="I378" s="14" t="str">
        <f t="shared" si="11"/>
        <v/>
      </c>
      <c r="J378" s="5"/>
    </row>
    <row r="379" spans="1:10">
      <c r="A379" s="9"/>
      <c r="B379" s="10" t="str">
        <f t="shared" si="10"/>
        <v/>
      </c>
      <c r="C379" s="5"/>
      <c r="D379" s="5"/>
      <c r="E379" s="5"/>
      <c r="F379" s="5"/>
      <c r="G379" s="6"/>
      <c r="H379" s="5"/>
      <c r="I379" s="14" t="str">
        <f t="shared" si="11"/>
        <v/>
      </c>
      <c r="J379" s="5"/>
    </row>
    <row r="380" spans="1:10">
      <c r="A380" s="9"/>
      <c r="B380" s="10" t="str">
        <f t="shared" si="10"/>
        <v/>
      </c>
      <c r="C380" s="5"/>
      <c r="D380" s="5"/>
      <c r="E380" s="5"/>
      <c r="F380" s="5"/>
      <c r="G380" s="6"/>
      <c r="H380" s="5"/>
      <c r="I380" s="14" t="str">
        <f t="shared" si="11"/>
        <v/>
      </c>
      <c r="J380" s="5"/>
    </row>
    <row r="381" spans="1:10">
      <c r="A381" s="9"/>
      <c r="B381" s="10" t="str">
        <f t="shared" si="10"/>
        <v/>
      </c>
      <c r="C381" s="5"/>
      <c r="D381" s="5"/>
      <c r="E381" s="5"/>
      <c r="F381" s="5"/>
      <c r="G381" s="6"/>
      <c r="H381" s="5"/>
      <c r="I381" s="14" t="str">
        <f t="shared" si="11"/>
        <v/>
      </c>
      <c r="J381" s="5"/>
    </row>
    <row r="382" spans="1:10">
      <c r="A382" s="9"/>
      <c r="B382" s="10" t="str">
        <f t="shared" si="10"/>
        <v/>
      </c>
      <c r="C382" s="5"/>
      <c r="D382" s="5"/>
      <c r="E382" s="5"/>
      <c r="F382" s="5"/>
      <c r="G382" s="6"/>
      <c r="H382" s="5"/>
      <c r="I382" s="14" t="str">
        <f t="shared" si="11"/>
        <v/>
      </c>
      <c r="J382" s="5"/>
    </row>
    <row r="383" spans="1:10">
      <c r="A383" s="9"/>
      <c r="B383" s="10" t="str">
        <f t="shared" si="10"/>
        <v/>
      </c>
      <c r="C383" s="5"/>
      <c r="D383" s="5"/>
      <c r="E383" s="5"/>
      <c r="F383" s="5"/>
      <c r="G383" s="6"/>
      <c r="H383" s="5"/>
      <c r="I383" s="14" t="str">
        <f t="shared" si="11"/>
        <v/>
      </c>
      <c r="J383" s="5"/>
    </row>
    <row r="384" spans="1:10">
      <c r="A384" s="9"/>
      <c r="B384" s="10" t="str">
        <f t="shared" si="10"/>
        <v/>
      </c>
      <c r="C384" s="5"/>
      <c r="D384" s="5"/>
      <c r="E384" s="5"/>
      <c r="F384" s="5"/>
      <c r="G384" s="6"/>
      <c r="H384" s="5"/>
      <c r="I384" s="14" t="str">
        <f t="shared" si="11"/>
        <v/>
      </c>
      <c r="J384" s="5"/>
    </row>
    <row r="385" spans="1:10">
      <c r="A385" s="9"/>
      <c r="B385" s="10" t="str">
        <f t="shared" si="10"/>
        <v/>
      </c>
      <c r="C385" s="5"/>
      <c r="D385" s="5"/>
      <c r="E385" s="5"/>
      <c r="F385" s="5"/>
      <c r="G385" s="6"/>
      <c r="H385" s="5"/>
      <c r="I385" s="14" t="str">
        <f t="shared" si="11"/>
        <v/>
      </c>
      <c r="J385" s="5"/>
    </row>
    <row r="386" spans="1:10">
      <c r="A386" s="9"/>
      <c r="B386" s="10" t="str">
        <f t="shared" ref="B386:B449" si="12">IF(A386="","",YEAR(A386)&amp;"/"&amp;RIGHT("0"&amp;MONTH(A386),2))</f>
        <v/>
      </c>
      <c r="C386" s="5"/>
      <c r="D386" s="5"/>
      <c r="E386" s="5"/>
      <c r="F386" s="5"/>
      <c r="G386" s="6"/>
      <c r="H386" s="5"/>
      <c r="I386" s="14" t="str">
        <f t="shared" ref="I386:I449" si="13">IF(OR(G386="",H386=""),"",G386*H386)</f>
        <v/>
      </c>
      <c r="J386" s="5"/>
    </row>
    <row r="387" spans="1:10">
      <c r="A387" s="9"/>
      <c r="B387" s="10" t="str">
        <f t="shared" si="12"/>
        <v/>
      </c>
      <c r="C387" s="5"/>
      <c r="D387" s="5"/>
      <c r="E387" s="5"/>
      <c r="F387" s="5"/>
      <c r="G387" s="6"/>
      <c r="H387" s="5"/>
      <c r="I387" s="14" t="str">
        <f t="shared" si="13"/>
        <v/>
      </c>
      <c r="J387" s="5"/>
    </row>
    <row r="388" spans="1:10">
      <c r="A388" s="9"/>
      <c r="B388" s="10" t="str">
        <f t="shared" si="12"/>
        <v/>
      </c>
      <c r="C388" s="5"/>
      <c r="D388" s="5"/>
      <c r="E388" s="5"/>
      <c r="F388" s="5"/>
      <c r="G388" s="6"/>
      <c r="H388" s="5"/>
      <c r="I388" s="14" t="str">
        <f t="shared" si="13"/>
        <v/>
      </c>
      <c r="J388" s="5"/>
    </row>
    <row r="389" spans="1:10">
      <c r="A389" s="9"/>
      <c r="B389" s="10" t="str">
        <f t="shared" si="12"/>
        <v/>
      </c>
      <c r="C389" s="5"/>
      <c r="D389" s="5"/>
      <c r="E389" s="5"/>
      <c r="F389" s="5"/>
      <c r="G389" s="6"/>
      <c r="H389" s="5"/>
      <c r="I389" s="14" t="str">
        <f t="shared" si="13"/>
        <v/>
      </c>
      <c r="J389" s="5"/>
    </row>
    <row r="390" spans="1:10">
      <c r="A390" s="9"/>
      <c r="B390" s="10" t="str">
        <f t="shared" si="12"/>
        <v/>
      </c>
      <c r="C390" s="5"/>
      <c r="D390" s="5"/>
      <c r="E390" s="5"/>
      <c r="F390" s="5"/>
      <c r="G390" s="6"/>
      <c r="H390" s="5"/>
      <c r="I390" s="14" t="str">
        <f t="shared" si="13"/>
        <v/>
      </c>
      <c r="J390" s="5"/>
    </row>
    <row r="391" spans="1:10">
      <c r="A391" s="9"/>
      <c r="B391" s="10" t="str">
        <f t="shared" si="12"/>
        <v/>
      </c>
      <c r="C391" s="5"/>
      <c r="D391" s="5"/>
      <c r="E391" s="5"/>
      <c r="F391" s="5"/>
      <c r="G391" s="6"/>
      <c r="H391" s="5"/>
      <c r="I391" s="14" t="str">
        <f t="shared" si="13"/>
        <v/>
      </c>
      <c r="J391" s="5"/>
    </row>
    <row r="392" spans="1:10">
      <c r="A392" s="9"/>
      <c r="B392" s="10" t="str">
        <f t="shared" si="12"/>
        <v/>
      </c>
      <c r="C392" s="5"/>
      <c r="D392" s="5"/>
      <c r="E392" s="5"/>
      <c r="F392" s="5"/>
      <c r="G392" s="6"/>
      <c r="H392" s="5"/>
      <c r="I392" s="14" t="str">
        <f t="shared" si="13"/>
        <v/>
      </c>
      <c r="J392" s="5"/>
    </row>
    <row r="393" spans="1:10">
      <c r="A393" s="9"/>
      <c r="B393" s="10" t="str">
        <f t="shared" si="12"/>
        <v/>
      </c>
      <c r="C393" s="5"/>
      <c r="D393" s="5"/>
      <c r="E393" s="5"/>
      <c r="F393" s="5"/>
      <c r="G393" s="6"/>
      <c r="H393" s="5"/>
      <c r="I393" s="14" t="str">
        <f t="shared" si="13"/>
        <v/>
      </c>
      <c r="J393" s="5"/>
    </row>
    <row r="394" spans="1:10">
      <c r="A394" s="9"/>
      <c r="B394" s="10" t="str">
        <f t="shared" si="12"/>
        <v/>
      </c>
      <c r="C394" s="5"/>
      <c r="D394" s="5"/>
      <c r="E394" s="5"/>
      <c r="F394" s="5"/>
      <c r="G394" s="6"/>
      <c r="H394" s="5"/>
      <c r="I394" s="14" t="str">
        <f t="shared" si="13"/>
        <v/>
      </c>
      <c r="J394" s="5"/>
    </row>
    <row r="395" spans="1:10">
      <c r="A395" s="9"/>
      <c r="B395" s="10" t="str">
        <f t="shared" si="12"/>
        <v/>
      </c>
      <c r="C395" s="5"/>
      <c r="D395" s="5"/>
      <c r="E395" s="5"/>
      <c r="F395" s="5"/>
      <c r="G395" s="6"/>
      <c r="H395" s="5"/>
      <c r="I395" s="14" t="str">
        <f t="shared" si="13"/>
        <v/>
      </c>
      <c r="J395" s="5"/>
    </row>
    <row r="396" spans="1:10">
      <c r="A396" s="9"/>
      <c r="B396" s="10" t="str">
        <f t="shared" si="12"/>
        <v/>
      </c>
      <c r="C396" s="5"/>
      <c r="D396" s="5"/>
      <c r="E396" s="5"/>
      <c r="F396" s="5"/>
      <c r="G396" s="6"/>
      <c r="H396" s="5"/>
      <c r="I396" s="14" t="str">
        <f t="shared" si="13"/>
        <v/>
      </c>
      <c r="J396" s="5"/>
    </row>
    <row r="397" spans="1:10">
      <c r="A397" s="9"/>
      <c r="B397" s="10" t="str">
        <f t="shared" si="12"/>
        <v/>
      </c>
      <c r="C397" s="5"/>
      <c r="D397" s="5"/>
      <c r="E397" s="5"/>
      <c r="F397" s="5"/>
      <c r="G397" s="6"/>
      <c r="H397" s="5"/>
      <c r="I397" s="14" t="str">
        <f t="shared" si="13"/>
        <v/>
      </c>
      <c r="J397" s="5"/>
    </row>
    <row r="398" spans="1:10">
      <c r="A398" s="9"/>
      <c r="B398" s="10" t="str">
        <f t="shared" si="12"/>
        <v/>
      </c>
      <c r="C398" s="5"/>
      <c r="D398" s="5"/>
      <c r="E398" s="5"/>
      <c r="F398" s="5"/>
      <c r="G398" s="6"/>
      <c r="H398" s="5"/>
      <c r="I398" s="14" t="str">
        <f t="shared" si="13"/>
        <v/>
      </c>
      <c r="J398" s="5"/>
    </row>
    <row r="399" spans="1:10">
      <c r="A399" s="9"/>
      <c r="B399" s="10" t="str">
        <f t="shared" si="12"/>
        <v/>
      </c>
      <c r="C399" s="5"/>
      <c r="D399" s="5"/>
      <c r="E399" s="5"/>
      <c r="F399" s="5"/>
      <c r="G399" s="6"/>
      <c r="H399" s="5"/>
      <c r="I399" s="14" t="str">
        <f t="shared" si="13"/>
        <v/>
      </c>
      <c r="J399" s="5"/>
    </row>
    <row r="400" spans="1:10">
      <c r="A400" s="9"/>
      <c r="B400" s="10" t="str">
        <f t="shared" si="12"/>
        <v/>
      </c>
      <c r="C400" s="5"/>
      <c r="D400" s="5"/>
      <c r="E400" s="5"/>
      <c r="F400" s="5"/>
      <c r="G400" s="6"/>
      <c r="H400" s="5"/>
      <c r="I400" s="14" t="str">
        <f t="shared" si="13"/>
        <v/>
      </c>
      <c r="J400" s="5"/>
    </row>
    <row r="401" spans="1:10">
      <c r="A401" s="9"/>
      <c r="B401" s="10" t="str">
        <f t="shared" si="12"/>
        <v/>
      </c>
      <c r="C401" s="5"/>
      <c r="D401" s="5"/>
      <c r="E401" s="5"/>
      <c r="F401" s="5"/>
      <c r="G401" s="6"/>
      <c r="H401" s="5"/>
      <c r="I401" s="14" t="str">
        <f t="shared" si="13"/>
        <v/>
      </c>
      <c r="J401" s="5"/>
    </row>
    <row r="402" spans="1:10">
      <c r="A402" s="9"/>
      <c r="B402" s="10" t="str">
        <f t="shared" si="12"/>
        <v/>
      </c>
      <c r="C402" s="5"/>
      <c r="D402" s="5"/>
      <c r="E402" s="5"/>
      <c r="F402" s="5"/>
      <c r="G402" s="6"/>
      <c r="H402" s="5"/>
      <c r="I402" s="14" t="str">
        <f t="shared" si="13"/>
        <v/>
      </c>
      <c r="J402" s="5"/>
    </row>
    <row r="403" spans="1:10">
      <c r="A403" s="9"/>
      <c r="B403" s="10" t="str">
        <f t="shared" si="12"/>
        <v/>
      </c>
      <c r="C403" s="5"/>
      <c r="D403" s="5"/>
      <c r="E403" s="5"/>
      <c r="F403" s="5"/>
      <c r="G403" s="6"/>
      <c r="H403" s="5"/>
      <c r="I403" s="14" t="str">
        <f t="shared" si="13"/>
        <v/>
      </c>
      <c r="J403" s="5"/>
    </row>
    <row r="404" spans="1:10">
      <c r="A404" s="9"/>
      <c r="B404" s="10" t="str">
        <f t="shared" si="12"/>
        <v/>
      </c>
      <c r="C404" s="5"/>
      <c r="D404" s="5"/>
      <c r="E404" s="5"/>
      <c r="F404" s="5"/>
      <c r="G404" s="6"/>
      <c r="H404" s="5"/>
      <c r="I404" s="14" t="str">
        <f t="shared" si="13"/>
        <v/>
      </c>
      <c r="J404" s="5"/>
    </row>
    <row r="405" spans="1:10">
      <c r="A405" s="9"/>
      <c r="B405" s="10" t="str">
        <f t="shared" si="12"/>
        <v/>
      </c>
      <c r="C405" s="5"/>
      <c r="D405" s="5"/>
      <c r="E405" s="5"/>
      <c r="F405" s="5"/>
      <c r="G405" s="6"/>
      <c r="H405" s="5"/>
      <c r="I405" s="14" t="str">
        <f t="shared" si="13"/>
        <v/>
      </c>
      <c r="J405" s="5"/>
    </row>
    <row r="406" spans="1:10">
      <c r="A406" s="9"/>
      <c r="B406" s="10" t="str">
        <f t="shared" si="12"/>
        <v/>
      </c>
      <c r="C406" s="5"/>
      <c r="D406" s="5"/>
      <c r="E406" s="5"/>
      <c r="F406" s="5"/>
      <c r="G406" s="6"/>
      <c r="H406" s="5"/>
      <c r="I406" s="14" t="str">
        <f t="shared" si="13"/>
        <v/>
      </c>
      <c r="J406" s="5"/>
    </row>
    <row r="407" spans="1:10">
      <c r="A407" s="9"/>
      <c r="B407" s="10" t="str">
        <f t="shared" si="12"/>
        <v/>
      </c>
      <c r="C407" s="5"/>
      <c r="D407" s="5"/>
      <c r="E407" s="5"/>
      <c r="F407" s="5"/>
      <c r="G407" s="6"/>
      <c r="H407" s="5"/>
      <c r="I407" s="14" t="str">
        <f t="shared" si="13"/>
        <v/>
      </c>
      <c r="J407" s="5"/>
    </row>
    <row r="408" spans="1:10">
      <c r="A408" s="9"/>
      <c r="B408" s="10" t="str">
        <f t="shared" si="12"/>
        <v/>
      </c>
      <c r="C408" s="5"/>
      <c r="D408" s="5"/>
      <c r="E408" s="5"/>
      <c r="F408" s="5"/>
      <c r="G408" s="6"/>
      <c r="H408" s="5"/>
      <c r="I408" s="14" t="str">
        <f t="shared" si="13"/>
        <v/>
      </c>
      <c r="J408" s="5"/>
    </row>
    <row r="409" spans="1:10">
      <c r="A409" s="9"/>
      <c r="B409" s="10" t="str">
        <f t="shared" si="12"/>
        <v/>
      </c>
      <c r="C409" s="5"/>
      <c r="D409" s="5"/>
      <c r="E409" s="5"/>
      <c r="F409" s="5"/>
      <c r="G409" s="6"/>
      <c r="H409" s="5"/>
      <c r="I409" s="14" t="str">
        <f t="shared" si="13"/>
        <v/>
      </c>
      <c r="J409" s="5"/>
    </row>
    <row r="410" spans="1:10">
      <c r="A410" s="9"/>
      <c r="B410" s="10" t="str">
        <f t="shared" si="12"/>
        <v/>
      </c>
      <c r="C410" s="5"/>
      <c r="D410" s="5"/>
      <c r="E410" s="5"/>
      <c r="F410" s="5"/>
      <c r="G410" s="6"/>
      <c r="H410" s="5"/>
      <c r="I410" s="14" t="str">
        <f t="shared" si="13"/>
        <v/>
      </c>
      <c r="J410" s="5"/>
    </row>
    <row r="411" spans="1:10">
      <c r="A411" s="9"/>
      <c r="B411" s="10" t="str">
        <f t="shared" si="12"/>
        <v/>
      </c>
      <c r="C411" s="5"/>
      <c r="D411" s="5"/>
      <c r="E411" s="5"/>
      <c r="F411" s="5"/>
      <c r="G411" s="6"/>
      <c r="H411" s="5"/>
      <c r="I411" s="14" t="str">
        <f t="shared" si="13"/>
        <v/>
      </c>
      <c r="J411" s="5"/>
    </row>
    <row r="412" spans="1:10">
      <c r="A412" s="9"/>
      <c r="B412" s="10" t="str">
        <f t="shared" si="12"/>
        <v/>
      </c>
      <c r="C412" s="5"/>
      <c r="D412" s="5"/>
      <c r="E412" s="5"/>
      <c r="F412" s="5"/>
      <c r="G412" s="6"/>
      <c r="H412" s="5"/>
      <c r="I412" s="14" t="str">
        <f t="shared" si="13"/>
        <v/>
      </c>
      <c r="J412" s="5"/>
    </row>
    <row r="413" spans="1:10">
      <c r="A413" s="9"/>
      <c r="B413" s="10" t="str">
        <f t="shared" si="12"/>
        <v/>
      </c>
      <c r="C413" s="5"/>
      <c r="D413" s="5"/>
      <c r="E413" s="5"/>
      <c r="F413" s="5"/>
      <c r="G413" s="6"/>
      <c r="H413" s="5"/>
      <c r="I413" s="14" t="str">
        <f t="shared" si="13"/>
        <v/>
      </c>
      <c r="J413" s="5"/>
    </row>
    <row r="414" spans="1:10">
      <c r="A414" s="9"/>
      <c r="B414" s="10" t="str">
        <f t="shared" si="12"/>
        <v/>
      </c>
      <c r="C414" s="5"/>
      <c r="D414" s="5"/>
      <c r="E414" s="5"/>
      <c r="F414" s="5"/>
      <c r="G414" s="6"/>
      <c r="H414" s="5"/>
      <c r="I414" s="14" t="str">
        <f t="shared" si="13"/>
        <v/>
      </c>
      <c r="J414" s="5"/>
    </row>
    <row r="415" spans="1:10">
      <c r="A415" s="9"/>
      <c r="B415" s="10" t="str">
        <f t="shared" si="12"/>
        <v/>
      </c>
      <c r="C415" s="5"/>
      <c r="D415" s="5"/>
      <c r="E415" s="5"/>
      <c r="F415" s="5"/>
      <c r="G415" s="6"/>
      <c r="H415" s="5"/>
      <c r="I415" s="14" t="str">
        <f t="shared" si="13"/>
        <v/>
      </c>
      <c r="J415" s="5"/>
    </row>
    <row r="416" spans="1:10">
      <c r="A416" s="9"/>
      <c r="B416" s="10" t="str">
        <f t="shared" si="12"/>
        <v/>
      </c>
      <c r="C416" s="5"/>
      <c r="D416" s="5"/>
      <c r="E416" s="5"/>
      <c r="F416" s="5"/>
      <c r="G416" s="6"/>
      <c r="H416" s="5"/>
      <c r="I416" s="14" t="str">
        <f t="shared" si="13"/>
        <v/>
      </c>
      <c r="J416" s="5"/>
    </row>
    <row r="417" spans="1:10">
      <c r="A417" s="9"/>
      <c r="B417" s="10" t="str">
        <f t="shared" si="12"/>
        <v/>
      </c>
      <c r="C417" s="5"/>
      <c r="D417" s="5"/>
      <c r="E417" s="5"/>
      <c r="F417" s="5"/>
      <c r="G417" s="6"/>
      <c r="H417" s="5"/>
      <c r="I417" s="14" t="str">
        <f t="shared" si="13"/>
        <v/>
      </c>
      <c r="J417" s="5"/>
    </row>
    <row r="418" spans="1:10">
      <c r="A418" s="9"/>
      <c r="B418" s="10" t="str">
        <f t="shared" si="12"/>
        <v/>
      </c>
      <c r="C418" s="5"/>
      <c r="D418" s="5"/>
      <c r="E418" s="5"/>
      <c r="F418" s="5"/>
      <c r="G418" s="6"/>
      <c r="H418" s="5"/>
      <c r="I418" s="14" t="str">
        <f t="shared" si="13"/>
        <v/>
      </c>
      <c r="J418" s="5"/>
    </row>
    <row r="419" spans="1:10">
      <c r="A419" s="9"/>
      <c r="B419" s="10" t="str">
        <f t="shared" si="12"/>
        <v/>
      </c>
      <c r="C419" s="5"/>
      <c r="D419" s="5"/>
      <c r="E419" s="5"/>
      <c r="F419" s="5"/>
      <c r="G419" s="6"/>
      <c r="H419" s="5"/>
      <c r="I419" s="14" t="str">
        <f t="shared" si="13"/>
        <v/>
      </c>
      <c r="J419" s="5"/>
    </row>
    <row r="420" spans="1:10">
      <c r="A420" s="9"/>
      <c r="B420" s="10" t="str">
        <f t="shared" si="12"/>
        <v/>
      </c>
      <c r="C420" s="5"/>
      <c r="D420" s="5"/>
      <c r="E420" s="5"/>
      <c r="F420" s="5"/>
      <c r="G420" s="6"/>
      <c r="H420" s="5"/>
      <c r="I420" s="14" t="str">
        <f t="shared" si="13"/>
        <v/>
      </c>
      <c r="J420" s="5"/>
    </row>
    <row r="421" spans="1:10">
      <c r="A421" s="9"/>
      <c r="B421" s="10" t="str">
        <f t="shared" si="12"/>
        <v/>
      </c>
      <c r="C421" s="5"/>
      <c r="D421" s="5"/>
      <c r="E421" s="5"/>
      <c r="F421" s="5"/>
      <c r="G421" s="6"/>
      <c r="H421" s="5"/>
      <c r="I421" s="14" t="str">
        <f t="shared" si="13"/>
        <v/>
      </c>
      <c r="J421" s="5"/>
    </row>
    <row r="422" spans="1:10">
      <c r="A422" s="9"/>
      <c r="B422" s="10" t="str">
        <f t="shared" si="12"/>
        <v/>
      </c>
      <c r="C422" s="5"/>
      <c r="D422" s="5"/>
      <c r="E422" s="5"/>
      <c r="F422" s="5"/>
      <c r="G422" s="6"/>
      <c r="H422" s="5"/>
      <c r="I422" s="14" t="str">
        <f t="shared" si="13"/>
        <v/>
      </c>
      <c r="J422" s="5"/>
    </row>
    <row r="423" spans="1:10">
      <c r="A423" s="9"/>
      <c r="B423" s="10" t="str">
        <f t="shared" si="12"/>
        <v/>
      </c>
      <c r="C423" s="5"/>
      <c r="D423" s="5"/>
      <c r="E423" s="5"/>
      <c r="F423" s="5"/>
      <c r="G423" s="6"/>
      <c r="H423" s="5"/>
      <c r="I423" s="14" t="str">
        <f t="shared" si="13"/>
        <v/>
      </c>
      <c r="J423" s="5"/>
    </row>
    <row r="424" spans="1:10">
      <c r="A424" s="9"/>
      <c r="B424" s="10" t="str">
        <f t="shared" si="12"/>
        <v/>
      </c>
      <c r="C424" s="5"/>
      <c r="D424" s="5"/>
      <c r="E424" s="5"/>
      <c r="F424" s="5"/>
      <c r="G424" s="6"/>
      <c r="H424" s="5"/>
      <c r="I424" s="14" t="str">
        <f t="shared" si="13"/>
        <v/>
      </c>
      <c r="J424" s="5"/>
    </row>
    <row r="425" spans="1:10">
      <c r="A425" s="9"/>
      <c r="B425" s="10" t="str">
        <f t="shared" si="12"/>
        <v/>
      </c>
      <c r="C425" s="5"/>
      <c r="D425" s="5"/>
      <c r="E425" s="5"/>
      <c r="F425" s="5"/>
      <c r="G425" s="6"/>
      <c r="H425" s="5"/>
      <c r="I425" s="14" t="str">
        <f t="shared" si="13"/>
        <v/>
      </c>
      <c r="J425" s="5"/>
    </row>
    <row r="426" spans="1:10">
      <c r="A426" s="9"/>
      <c r="B426" s="10" t="str">
        <f t="shared" si="12"/>
        <v/>
      </c>
      <c r="C426" s="5"/>
      <c r="D426" s="5"/>
      <c r="E426" s="5"/>
      <c r="F426" s="5"/>
      <c r="G426" s="6"/>
      <c r="H426" s="5"/>
      <c r="I426" s="14" t="str">
        <f t="shared" si="13"/>
        <v/>
      </c>
      <c r="J426" s="5"/>
    </row>
    <row r="427" spans="1:10">
      <c r="A427" s="9"/>
      <c r="B427" s="10" t="str">
        <f t="shared" si="12"/>
        <v/>
      </c>
      <c r="C427" s="5"/>
      <c r="D427" s="5"/>
      <c r="E427" s="5"/>
      <c r="F427" s="5"/>
      <c r="G427" s="6"/>
      <c r="H427" s="5"/>
      <c r="I427" s="14" t="str">
        <f t="shared" si="13"/>
        <v/>
      </c>
      <c r="J427" s="5"/>
    </row>
    <row r="428" spans="1:10">
      <c r="A428" s="9"/>
      <c r="B428" s="10" t="str">
        <f t="shared" si="12"/>
        <v/>
      </c>
      <c r="C428" s="5"/>
      <c r="D428" s="5"/>
      <c r="E428" s="5"/>
      <c r="F428" s="5"/>
      <c r="G428" s="6"/>
      <c r="H428" s="5"/>
      <c r="I428" s="14" t="str">
        <f t="shared" si="13"/>
        <v/>
      </c>
      <c r="J428" s="5"/>
    </row>
    <row r="429" spans="1:10">
      <c r="A429" s="9"/>
      <c r="B429" s="10" t="str">
        <f t="shared" si="12"/>
        <v/>
      </c>
      <c r="C429" s="5"/>
      <c r="D429" s="5"/>
      <c r="E429" s="5"/>
      <c r="F429" s="5"/>
      <c r="G429" s="6"/>
      <c r="H429" s="5"/>
      <c r="I429" s="14" t="str">
        <f t="shared" si="13"/>
        <v/>
      </c>
      <c r="J429" s="5"/>
    </row>
    <row r="430" spans="1:10">
      <c r="A430" s="9"/>
      <c r="B430" s="10" t="str">
        <f t="shared" si="12"/>
        <v/>
      </c>
      <c r="C430" s="5"/>
      <c r="D430" s="5"/>
      <c r="E430" s="5"/>
      <c r="F430" s="5"/>
      <c r="G430" s="6"/>
      <c r="H430" s="5"/>
      <c r="I430" s="14" t="str">
        <f t="shared" si="13"/>
        <v/>
      </c>
      <c r="J430" s="5"/>
    </row>
    <row r="431" spans="1:10">
      <c r="A431" s="9"/>
      <c r="B431" s="10" t="str">
        <f t="shared" si="12"/>
        <v/>
      </c>
      <c r="C431" s="5"/>
      <c r="D431" s="5"/>
      <c r="E431" s="5"/>
      <c r="F431" s="5"/>
      <c r="G431" s="6"/>
      <c r="H431" s="5"/>
      <c r="I431" s="14" t="str">
        <f t="shared" si="13"/>
        <v/>
      </c>
      <c r="J431" s="5"/>
    </row>
    <row r="432" spans="1:10">
      <c r="A432" s="9"/>
      <c r="B432" s="10" t="str">
        <f t="shared" si="12"/>
        <v/>
      </c>
      <c r="C432" s="5"/>
      <c r="D432" s="5"/>
      <c r="E432" s="5"/>
      <c r="F432" s="5"/>
      <c r="G432" s="6"/>
      <c r="H432" s="5"/>
      <c r="I432" s="14" t="str">
        <f t="shared" si="13"/>
        <v/>
      </c>
      <c r="J432" s="5"/>
    </row>
    <row r="433" spans="1:10">
      <c r="A433" s="9"/>
      <c r="B433" s="10" t="str">
        <f t="shared" si="12"/>
        <v/>
      </c>
      <c r="C433" s="5"/>
      <c r="D433" s="5"/>
      <c r="E433" s="5"/>
      <c r="F433" s="5"/>
      <c r="G433" s="6"/>
      <c r="H433" s="5"/>
      <c r="I433" s="14" t="str">
        <f t="shared" si="13"/>
        <v/>
      </c>
      <c r="J433" s="5"/>
    </row>
    <row r="434" spans="1:10">
      <c r="A434" s="9"/>
      <c r="B434" s="10" t="str">
        <f t="shared" si="12"/>
        <v/>
      </c>
      <c r="C434" s="5"/>
      <c r="D434" s="5"/>
      <c r="E434" s="5"/>
      <c r="F434" s="5"/>
      <c r="G434" s="6"/>
      <c r="H434" s="5"/>
      <c r="I434" s="14" t="str">
        <f t="shared" si="13"/>
        <v/>
      </c>
      <c r="J434" s="5"/>
    </row>
    <row r="435" spans="1:10">
      <c r="A435" s="9"/>
      <c r="B435" s="10" t="str">
        <f t="shared" si="12"/>
        <v/>
      </c>
      <c r="C435" s="5"/>
      <c r="D435" s="5"/>
      <c r="E435" s="5"/>
      <c r="F435" s="5"/>
      <c r="G435" s="6"/>
      <c r="H435" s="5"/>
      <c r="I435" s="14" t="str">
        <f t="shared" si="13"/>
        <v/>
      </c>
      <c r="J435" s="5"/>
    </row>
    <row r="436" spans="1:10">
      <c r="A436" s="9"/>
      <c r="B436" s="10" t="str">
        <f t="shared" si="12"/>
        <v/>
      </c>
      <c r="C436" s="5"/>
      <c r="D436" s="5"/>
      <c r="E436" s="5"/>
      <c r="F436" s="5"/>
      <c r="G436" s="6"/>
      <c r="H436" s="5"/>
      <c r="I436" s="14" t="str">
        <f t="shared" si="13"/>
        <v/>
      </c>
      <c r="J436" s="5"/>
    </row>
    <row r="437" spans="1:10">
      <c r="A437" s="9"/>
      <c r="B437" s="10" t="str">
        <f t="shared" si="12"/>
        <v/>
      </c>
      <c r="C437" s="5"/>
      <c r="D437" s="5"/>
      <c r="E437" s="5"/>
      <c r="F437" s="5"/>
      <c r="G437" s="6"/>
      <c r="H437" s="5"/>
      <c r="I437" s="14" t="str">
        <f t="shared" si="13"/>
        <v/>
      </c>
      <c r="J437" s="5"/>
    </row>
    <row r="438" spans="1:10">
      <c r="A438" s="9"/>
      <c r="B438" s="10" t="str">
        <f t="shared" si="12"/>
        <v/>
      </c>
      <c r="C438" s="5"/>
      <c r="D438" s="5"/>
      <c r="E438" s="5"/>
      <c r="F438" s="5"/>
      <c r="G438" s="6"/>
      <c r="H438" s="5"/>
      <c r="I438" s="14" t="str">
        <f t="shared" si="13"/>
        <v/>
      </c>
      <c r="J438" s="5"/>
    </row>
    <row r="439" spans="1:10">
      <c r="A439" s="9"/>
      <c r="B439" s="10" t="str">
        <f t="shared" si="12"/>
        <v/>
      </c>
      <c r="C439" s="5"/>
      <c r="D439" s="5"/>
      <c r="E439" s="5"/>
      <c r="F439" s="5"/>
      <c r="G439" s="6"/>
      <c r="H439" s="5"/>
      <c r="I439" s="14" t="str">
        <f t="shared" si="13"/>
        <v/>
      </c>
      <c r="J439" s="5"/>
    </row>
    <row r="440" spans="1:10">
      <c r="A440" s="9"/>
      <c r="B440" s="10" t="str">
        <f t="shared" si="12"/>
        <v/>
      </c>
      <c r="C440" s="5"/>
      <c r="D440" s="5"/>
      <c r="E440" s="5"/>
      <c r="F440" s="5"/>
      <c r="G440" s="6"/>
      <c r="H440" s="5"/>
      <c r="I440" s="14" t="str">
        <f t="shared" si="13"/>
        <v/>
      </c>
      <c r="J440" s="5"/>
    </row>
    <row r="441" spans="1:10">
      <c r="A441" s="9"/>
      <c r="B441" s="10" t="str">
        <f t="shared" si="12"/>
        <v/>
      </c>
      <c r="C441" s="5"/>
      <c r="D441" s="5"/>
      <c r="E441" s="5"/>
      <c r="F441" s="5"/>
      <c r="G441" s="6"/>
      <c r="H441" s="5"/>
      <c r="I441" s="14" t="str">
        <f t="shared" si="13"/>
        <v/>
      </c>
      <c r="J441" s="5"/>
    </row>
    <row r="442" spans="1:10">
      <c r="A442" s="9"/>
      <c r="B442" s="10" t="str">
        <f t="shared" si="12"/>
        <v/>
      </c>
      <c r="C442" s="5"/>
      <c r="D442" s="5"/>
      <c r="E442" s="5"/>
      <c r="F442" s="5"/>
      <c r="G442" s="6"/>
      <c r="H442" s="5"/>
      <c r="I442" s="14" t="str">
        <f t="shared" si="13"/>
        <v/>
      </c>
      <c r="J442" s="5"/>
    </row>
    <row r="443" spans="1:10">
      <c r="A443" s="9"/>
      <c r="B443" s="10" t="str">
        <f t="shared" si="12"/>
        <v/>
      </c>
      <c r="C443" s="5"/>
      <c r="D443" s="5"/>
      <c r="E443" s="5"/>
      <c r="F443" s="5"/>
      <c r="G443" s="6"/>
      <c r="H443" s="5"/>
      <c r="I443" s="14" t="str">
        <f t="shared" si="13"/>
        <v/>
      </c>
      <c r="J443" s="5"/>
    </row>
    <row r="444" spans="1:10">
      <c r="A444" s="9"/>
      <c r="B444" s="10" t="str">
        <f t="shared" si="12"/>
        <v/>
      </c>
      <c r="C444" s="5"/>
      <c r="D444" s="5"/>
      <c r="E444" s="5"/>
      <c r="F444" s="5"/>
      <c r="G444" s="6"/>
      <c r="H444" s="5"/>
      <c r="I444" s="14" t="str">
        <f t="shared" si="13"/>
        <v/>
      </c>
      <c r="J444" s="5"/>
    </row>
    <row r="445" spans="1:10">
      <c r="A445" s="9"/>
      <c r="B445" s="10" t="str">
        <f t="shared" si="12"/>
        <v/>
      </c>
      <c r="C445" s="5"/>
      <c r="D445" s="5"/>
      <c r="E445" s="5"/>
      <c r="F445" s="5"/>
      <c r="G445" s="6"/>
      <c r="H445" s="5"/>
      <c r="I445" s="14" t="str">
        <f t="shared" si="13"/>
        <v/>
      </c>
      <c r="J445" s="5"/>
    </row>
    <row r="446" spans="1:10">
      <c r="A446" s="9"/>
      <c r="B446" s="10" t="str">
        <f t="shared" si="12"/>
        <v/>
      </c>
      <c r="C446" s="5"/>
      <c r="D446" s="5"/>
      <c r="E446" s="5"/>
      <c r="F446" s="5"/>
      <c r="G446" s="6"/>
      <c r="H446" s="5"/>
      <c r="I446" s="14" t="str">
        <f t="shared" si="13"/>
        <v/>
      </c>
      <c r="J446" s="5"/>
    </row>
    <row r="447" spans="1:10">
      <c r="A447" s="9"/>
      <c r="B447" s="10" t="str">
        <f t="shared" si="12"/>
        <v/>
      </c>
      <c r="C447" s="5"/>
      <c r="D447" s="5"/>
      <c r="E447" s="5"/>
      <c r="F447" s="5"/>
      <c r="G447" s="6"/>
      <c r="H447" s="5"/>
      <c r="I447" s="14" t="str">
        <f t="shared" si="13"/>
        <v/>
      </c>
      <c r="J447" s="5"/>
    </row>
    <row r="448" spans="1:10">
      <c r="A448" s="9"/>
      <c r="B448" s="10" t="str">
        <f t="shared" si="12"/>
        <v/>
      </c>
      <c r="C448" s="5"/>
      <c r="D448" s="5"/>
      <c r="E448" s="5"/>
      <c r="F448" s="5"/>
      <c r="G448" s="6"/>
      <c r="H448" s="5"/>
      <c r="I448" s="14" t="str">
        <f t="shared" si="13"/>
        <v/>
      </c>
      <c r="J448" s="5"/>
    </row>
    <row r="449" spans="1:10">
      <c r="A449" s="9"/>
      <c r="B449" s="10" t="str">
        <f t="shared" si="12"/>
        <v/>
      </c>
      <c r="C449" s="5"/>
      <c r="D449" s="5"/>
      <c r="E449" s="5"/>
      <c r="F449" s="5"/>
      <c r="G449" s="6"/>
      <c r="H449" s="5"/>
      <c r="I449" s="14" t="str">
        <f t="shared" si="13"/>
        <v/>
      </c>
      <c r="J449" s="5"/>
    </row>
    <row r="450" spans="1:10">
      <c r="A450" s="9"/>
      <c r="B450" s="10" t="str">
        <f t="shared" ref="B450:B513" si="14">IF(A450="","",YEAR(A450)&amp;"/"&amp;RIGHT("0"&amp;MONTH(A450),2))</f>
        <v/>
      </c>
      <c r="C450" s="5"/>
      <c r="D450" s="5"/>
      <c r="E450" s="5"/>
      <c r="F450" s="5"/>
      <c r="G450" s="6"/>
      <c r="H450" s="5"/>
      <c r="I450" s="14" t="str">
        <f t="shared" ref="I450:I513" si="15">IF(OR(G450="",H450=""),"",G450*H450)</f>
        <v/>
      </c>
      <c r="J450" s="5"/>
    </row>
    <row r="451" spans="1:10">
      <c r="A451" s="9"/>
      <c r="B451" s="10" t="str">
        <f t="shared" si="14"/>
        <v/>
      </c>
      <c r="C451" s="5"/>
      <c r="D451" s="5"/>
      <c r="E451" s="5"/>
      <c r="F451" s="5"/>
      <c r="G451" s="6"/>
      <c r="H451" s="5"/>
      <c r="I451" s="14" t="str">
        <f t="shared" si="15"/>
        <v/>
      </c>
      <c r="J451" s="5"/>
    </row>
    <row r="452" spans="1:10">
      <c r="A452" s="9"/>
      <c r="B452" s="10" t="str">
        <f t="shared" si="14"/>
        <v/>
      </c>
      <c r="C452" s="5"/>
      <c r="D452" s="5"/>
      <c r="E452" s="5"/>
      <c r="F452" s="5"/>
      <c r="G452" s="6"/>
      <c r="H452" s="5"/>
      <c r="I452" s="14" t="str">
        <f t="shared" si="15"/>
        <v/>
      </c>
      <c r="J452" s="5"/>
    </row>
    <row r="453" spans="1:10">
      <c r="A453" s="9"/>
      <c r="B453" s="10" t="str">
        <f t="shared" si="14"/>
        <v/>
      </c>
      <c r="C453" s="5"/>
      <c r="D453" s="5"/>
      <c r="E453" s="5"/>
      <c r="F453" s="5"/>
      <c r="G453" s="6"/>
      <c r="H453" s="5"/>
      <c r="I453" s="14" t="str">
        <f t="shared" si="15"/>
        <v/>
      </c>
      <c r="J453" s="5"/>
    </row>
    <row r="454" spans="1:10">
      <c r="A454" s="9"/>
      <c r="B454" s="10" t="str">
        <f t="shared" si="14"/>
        <v/>
      </c>
      <c r="C454" s="5"/>
      <c r="D454" s="5"/>
      <c r="E454" s="5"/>
      <c r="F454" s="5"/>
      <c r="G454" s="6"/>
      <c r="H454" s="5"/>
      <c r="I454" s="14" t="str">
        <f t="shared" si="15"/>
        <v/>
      </c>
      <c r="J454" s="5"/>
    </row>
    <row r="455" spans="1:10">
      <c r="A455" s="9"/>
      <c r="B455" s="10" t="str">
        <f t="shared" si="14"/>
        <v/>
      </c>
      <c r="C455" s="5"/>
      <c r="D455" s="5"/>
      <c r="E455" s="5"/>
      <c r="F455" s="5"/>
      <c r="G455" s="6"/>
      <c r="H455" s="5"/>
      <c r="I455" s="14" t="str">
        <f t="shared" si="15"/>
        <v/>
      </c>
      <c r="J455" s="5"/>
    </row>
    <row r="456" spans="1:10">
      <c r="A456" s="9"/>
      <c r="B456" s="10" t="str">
        <f t="shared" si="14"/>
        <v/>
      </c>
      <c r="C456" s="5"/>
      <c r="D456" s="5"/>
      <c r="E456" s="5"/>
      <c r="F456" s="5"/>
      <c r="G456" s="6"/>
      <c r="H456" s="5"/>
      <c r="I456" s="14" t="str">
        <f t="shared" si="15"/>
        <v/>
      </c>
      <c r="J456" s="5"/>
    </row>
    <row r="457" spans="1:10">
      <c r="A457" s="9"/>
      <c r="B457" s="10" t="str">
        <f t="shared" si="14"/>
        <v/>
      </c>
      <c r="C457" s="5"/>
      <c r="D457" s="5"/>
      <c r="E457" s="5"/>
      <c r="F457" s="5"/>
      <c r="G457" s="6"/>
      <c r="H457" s="5"/>
      <c r="I457" s="14" t="str">
        <f t="shared" si="15"/>
        <v/>
      </c>
      <c r="J457" s="5"/>
    </row>
    <row r="458" spans="1:10">
      <c r="A458" s="9"/>
      <c r="B458" s="10" t="str">
        <f t="shared" si="14"/>
        <v/>
      </c>
      <c r="C458" s="5"/>
      <c r="D458" s="5"/>
      <c r="E458" s="5"/>
      <c r="F458" s="5"/>
      <c r="G458" s="6"/>
      <c r="H458" s="5"/>
      <c r="I458" s="14" t="str">
        <f t="shared" si="15"/>
        <v/>
      </c>
      <c r="J458" s="5"/>
    </row>
    <row r="459" spans="1:10">
      <c r="A459" s="9"/>
      <c r="B459" s="10" t="str">
        <f t="shared" si="14"/>
        <v/>
      </c>
      <c r="C459" s="5"/>
      <c r="D459" s="5"/>
      <c r="E459" s="5"/>
      <c r="F459" s="5"/>
      <c r="G459" s="6"/>
      <c r="H459" s="5"/>
      <c r="I459" s="14" t="str">
        <f t="shared" si="15"/>
        <v/>
      </c>
      <c r="J459" s="5"/>
    </row>
    <row r="460" spans="1:10">
      <c r="A460" s="9"/>
      <c r="B460" s="10" t="str">
        <f t="shared" si="14"/>
        <v/>
      </c>
      <c r="C460" s="5"/>
      <c r="D460" s="5"/>
      <c r="E460" s="5"/>
      <c r="F460" s="5"/>
      <c r="G460" s="6"/>
      <c r="H460" s="5"/>
      <c r="I460" s="14" t="str">
        <f t="shared" si="15"/>
        <v/>
      </c>
      <c r="J460" s="5"/>
    </row>
    <row r="461" spans="1:10">
      <c r="A461" s="9"/>
      <c r="B461" s="10" t="str">
        <f t="shared" si="14"/>
        <v/>
      </c>
      <c r="C461" s="5"/>
      <c r="D461" s="5"/>
      <c r="E461" s="5"/>
      <c r="F461" s="5"/>
      <c r="G461" s="6"/>
      <c r="H461" s="5"/>
      <c r="I461" s="14" t="str">
        <f t="shared" si="15"/>
        <v/>
      </c>
      <c r="J461" s="5"/>
    </row>
    <row r="462" spans="1:10">
      <c r="A462" s="9"/>
      <c r="B462" s="10" t="str">
        <f t="shared" si="14"/>
        <v/>
      </c>
      <c r="C462" s="5"/>
      <c r="D462" s="5"/>
      <c r="E462" s="5"/>
      <c r="F462" s="5"/>
      <c r="G462" s="6"/>
      <c r="H462" s="5"/>
      <c r="I462" s="14" t="str">
        <f t="shared" si="15"/>
        <v/>
      </c>
      <c r="J462" s="5"/>
    </row>
    <row r="463" spans="1:10">
      <c r="A463" s="9"/>
      <c r="B463" s="10" t="str">
        <f t="shared" si="14"/>
        <v/>
      </c>
      <c r="C463" s="5"/>
      <c r="D463" s="5"/>
      <c r="E463" s="5"/>
      <c r="F463" s="5"/>
      <c r="G463" s="6"/>
      <c r="H463" s="5"/>
      <c r="I463" s="14" t="str">
        <f t="shared" si="15"/>
        <v/>
      </c>
      <c r="J463" s="5"/>
    </row>
    <row r="464" spans="1:10">
      <c r="A464" s="9"/>
      <c r="B464" s="10" t="str">
        <f t="shared" si="14"/>
        <v/>
      </c>
      <c r="C464" s="5"/>
      <c r="D464" s="5"/>
      <c r="E464" s="5"/>
      <c r="F464" s="5"/>
      <c r="G464" s="6"/>
      <c r="H464" s="5"/>
      <c r="I464" s="14" t="str">
        <f t="shared" si="15"/>
        <v/>
      </c>
      <c r="J464" s="5"/>
    </row>
    <row r="465" spans="1:10">
      <c r="A465" s="9"/>
      <c r="B465" s="10" t="str">
        <f t="shared" si="14"/>
        <v/>
      </c>
      <c r="C465" s="5"/>
      <c r="D465" s="5"/>
      <c r="E465" s="5"/>
      <c r="F465" s="5"/>
      <c r="G465" s="6"/>
      <c r="H465" s="5"/>
      <c r="I465" s="14" t="str">
        <f t="shared" si="15"/>
        <v/>
      </c>
      <c r="J465" s="5"/>
    </row>
    <row r="466" spans="1:10">
      <c r="A466" s="9"/>
      <c r="B466" s="10" t="str">
        <f t="shared" si="14"/>
        <v/>
      </c>
      <c r="C466" s="5"/>
      <c r="D466" s="5"/>
      <c r="E466" s="5"/>
      <c r="F466" s="5"/>
      <c r="G466" s="6"/>
      <c r="H466" s="5"/>
      <c r="I466" s="14" t="str">
        <f t="shared" si="15"/>
        <v/>
      </c>
      <c r="J466" s="5"/>
    </row>
    <row r="467" spans="1:10">
      <c r="A467" s="9"/>
      <c r="B467" s="10" t="str">
        <f t="shared" si="14"/>
        <v/>
      </c>
      <c r="C467" s="5"/>
      <c r="D467" s="5"/>
      <c r="E467" s="5"/>
      <c r="F467" s="5"/>
      <c r="G467" s="6"/>
      <c r="H467" s="5"/>
      <c r="I467" s="14" t="str">
        <f t="shared" si="15"/>
        <v/>
      </c>
      <c r="J467" s="5"/>
    </row>
    <row r="468" spans="1:10">
      <c r="A468" s="9"/>
      <c r="B468" s="10" t="str">
        <f t="shared" si="14"/>
        <v/>
      </c>
      <c r="C468" s="5"/>
      <c r="D468" s="5"/>
      <c r="E468" s="5"/>
      <c r="F468" s="5"/>
      <c r="G468" s="6"/>
      <c r="H468" s="5"/>
      <c r="I468" s="14" t="str">
        <f t="shared" si="15"/>
        <v/>
      </c>
      <c r="J468" s="5"/>
    </row>
    <row r="469" spans="1:10">
      <c r="A469" s="9"/>
      <c r="B469" s="10" t="str">
        <f t="shared" si="14"/>
        <v/>
      </c>
      <c r="C469" s="5"/>
      <c r="D469" s="5"/>
      <c r="E469" s="5"/>
      <c r="F469" s="5"/>
      <c r="G469" s="6"/>
      <c r="H469" s="5"/>
      <c r="I469" s="14" t="str">
        <f t="shared" si="15"/>
        <v/>
      </c>
      <c r="J469" s="5"/>
    </row>
    <row r="470" spans="1:10">
      <c r="A470" s="9"/>
      <c r="B470" s="10" t="str">
        <f t="shared" si="14"/>
        <v/>
      </c>
      <c r="C470" s="5"/>
      <c r="D470" s="5"/>
      <c r="E470" s="5"/>
      <c r="F470" s="5"/>
      <c r="G470" s="6"/>
      <c r="H470" s="5"/>
      <c r="I470" s="14" t="str">
        <f t="shared" si="15"/>
        <v/>
      </c>
      <c r="J470" s="5"/>
    </row>
    <row r="471" spans="1:10">
      <c r="A471" s="9"/>
      <c r="B471" s="10" t="str">
        <f t="shared" si="14"/>
        <v/>
      </c>
      <c r="C471" s="5"/>
      <c r="D471" s="5"/>
      <c r="E471" s="5"/>
      <c r="F471" s="5"/>
      <c r="G471" s="6"/>
      <c r="H471" s="5"/>
      <c r="I471" s="14" t="str">
        <f t="shared" si="15"/>
        <v/>
      </c>
      <c r="J471" s="5"/>
    </row>
    <row r="472" spans="1:10">
      <c r="A472" s="9"/>
      <c r="B472" s="10" t="str">
        <f t="shared" si="14"/>
        <v/>
      </c>
      <c r="C472" s="5"/>
      <c r="D472" s="5"/>
      <c r="E472" s="5"/>
      <c r="F472" s="5"/>
      <c r="G472" s="6"/>
      <c r="H472" s="5"/>
      <c r="I472" s="14" t="str">
        <f t="shared" si="15"/>
        <v/>
      </c>
      <c r="J472" s="5"/>
    </row>
    <row r="473" spans="1:10">
      <c r="A473" s="9"/>
      <c r="B473" s="10" t="str">
        <f t="shared" si="14"/>
        <v/>
      </c>
      <c r="C473" s="5"/>
      <c r="D473" s="5"/>
      <c r="E473" s="5"/>
      <c r="F473" s="5"/>
      <c r="G473" s="6"/>
      <c r="H473" s="5"/>
      <c r="I473" s="14" t="str">
        <f t="shared" si="15"/>
        <v/>
      </c>
      <c r="J473" s="5"/>
    </row>
    <row r="474" spans="1:10">
      <c r="A474" s="9"/>
      <c r="B474" s="10" t="str">
        <f t="shared" si="14"/>
        <v/>
      </c>
      <c r="C474" s="5"/>
      <c r="D474" s="5"/>
      <c r="E474" s="5"/>
      <c r="F474" s="5"/>
      <c r="G474" s="6"/>
      <c r="H474" s="5"/>
      <c r="I474" s="14" t="str">
        <f t="shared" si="15"/>
        <v/>
      </c>
      <c r="J474" s="5"/>
    </row>
    <row r="475" spans="1:10">
      <c r="A475" s="9"/>
      <c r="B475" s="10" t="str">
        <f t="shared" si="14"/>
        <v/>
      </c>
      <c r="C475" s="5"/>
      <c r="D475" s="5"/>
      <c r="E475" s="5"/>
      <c r="F475" s="5"/>
      <c r="G475" s="6"/>
      <c r="H475" s="5"/>
      <c r="I475" s="14" t="str">
        <f t="shared" si="15"/>
        <v/>
      </c>
      <c r="J475" s="5"/>
    </row>
    <row r="476" spans="1:10">
      <c r="A476" s="9"/>
      <c r="B476" s="10" t="str">
        <f t="shared" si="14"/>
        <v/>
      </c>
      <c r="C476" s="5"/>
      <c r="D476" s="5"/>
      <c r="E476" s="5"/>
      <c r="F476" s="5"/>
      <c r="G476" s="6"/>
      <c r="H476" s="5"/>
      <c r="I476" s="14" t="str">
        <f t="shared" si="15"/>
        <v/>
      </c>
      <c r="J476" s="5"/>
    </row>
    <row r="477" spans="1:10">
      <c r="A477" s="9"/>
      <c r="B477" s="10" t="str">
        <f t="shared" si="14"/>
        <v/>
      </c>
      <c r="C477" s="5"/>
      <c r="D477" s="5"/>
      <c r="E477" s="5"/>
      <c r="F477" s="5"/>
      <c r="G477" s="6"/>
      <c r="H477" s="5"/>
      <c r="I477" s="14" t="str">
        <f t="shared" si="15"/>
        <v/>
      </c>
      <c r="J477" s="5"/>
    </row>
    <row r="478" spans="1:10">
      <c r="A478" s="9"/>
      <c r="B478" s="10" t="str">
        <f t="shared" si="14"/>
        <v/>
      </c>
      <c r="C478" s="5"/>
      <c r="D478" s="5"/>
      <c r="E478" s="5"/>
      <c r="F478" s="5"/>
      <c r="G478" s="6"/>
      <c r="H478" s="5"/>
      <c r="I478" s="14" t="str">
        <f t="shared" si="15"/>
        <v/>
      </c>
      <c r="J478" s="5"/>
    </row>
    <row r="479" spans="1:10">
      <c r="A479" s="9"/>
      <c r="B479" s="10" t="str">
        <f t="shared" si="14"/>
        <v/>
      </c>
      <c r="C479" s="5"/>
      <c r="D479" s="5"/>
      <c r="E479" s="5"/>
      <c r="F479" s="5"/>
      <c r="G479" s="6"/>
      <c r="H479" s="5"/>
      <c r="I479" s="14" t="str">
        <f t="shared" si="15"/>
        <v/>
      </c>
      <c r="J479" s="5"/>
    </row>
    <row r="480" spans="1:10">
      <c r="A480" s="9"/>
      <c r="B480" s="10" t="str">
        <f t="shared" si="14"/>
        <v/>
      </c>
      <c r="C480" s="5"/>
      <c r="D480" s="5"/>
      <c r="E480" s="5"/>
      <c r="F480" s="5"/>
      <c r="G480" s="6"/>
      <c r="H480" s="5"/>
      <c r="I480" s="14" t="str">
        <f t="shared" si="15"/>
        <v/>
      </c>
      <c r="J480" s="5"/>
    </row>
    <row r="481" spans="1:10">
      <c r="A481" s="9"/>
      <c r="B481" s="10" t="str">
        <f t="shared" si="14"/>
        <v/>
      </c>
      <c r="C481" s="5"/>
      <c r="D481" s="5"/>
      <c r="E481" s="5"/>
      <c r="F481" s="5"/>
      <c r="G481" s="6"/>
      <c r="H481" s="5"/>
      <c r="I481" s="14" t="str">
        <f t="shared" si="15"/>
        <v/>
      </c>
      <c r="J481" s="5"/>
    </row>
    <row r="482" spans="1:10">
      <c r="A482" s="9"/>
      <c r="B482" s="10" t="str">
        <f t="shared" si="14"/>
        <v/>
      </c>
      <c r="C482" s="5"/>
      <c r="D482" s="5"/>
      <c r="E482" s="5"/>
      <c r="F482" s="5"/>
      <c r="G482" s="6"/>
      <c r="H482" s="5"/>
      <c r="I482" s="14" t="str">
        <f t="shared" si="15"/>
        <v/>
      </c>
      <c r="J482" s="5"/>
    </row>
    <row r="483" spans="1:10">
      <c r="A483" s="9"/>
      <c r="B483" s="10" t="str">
        <f t="shared" si="14"/>
        <v/>
      </c>
      <c r="C483" s="5"/>
      <c r="D483" s="5"/>
      <c r="E483" s="5"/>
      <c r="F483" s="5"/>
      <c r="G483" s="6"/>
      <c r="H483" s="5"/>
      <c r="I483" s="14" t="str">
        <f t="shared" si="15"/>
        <v/>
      </c>
      <c r="J483" s="5"/>
    </row>
    <row r="484" spans="1:10">
      <c r="A484" s="9"/>
      <c r="B484" s="10" t="str">
        <f t="shared" si="14"/>
        <v/>
      </c>
      <c r="C484" s="5"/>
      <c r="D484" s="5"/>
      <c r="E484" s="5"/>
      <c r="F484" s="5"/>
      <c r="G484" s="6"/>
      <c r="H484" s="5"/>
      <c r="I484" s="14" t="str">
        <f t="shared" si="15"/>
        <v/>
      </c>
      <c r="J484" s="5"/>
    </row>
    <row r="485" spans="1:10">
      <c r="A485" s="9"/>
      <c r="B485" s="10" t="str">
        <f t="shared" si="14"/>
        <v/>
      </c>
      <c r="C485" s="5"/>
      <c r="D485" s="5"/>
      <c r="E485" s="5"/>
      <c r="F485" s="5"/>
      <c r="G485" s="6"/>
      <c r="H485" s="5"/>
      <c r="I485" s="14" t="str">
        <f t="shared" si="15"/>
        <v/>
      </c>
      <c r="J485" s="5"/>
    </row>
    <row r="486" spans="1:10">
      <c r="A486" s="9"/>
      <c r="B486" s="10" t="str">
        <f t="shared" si="14"/>
        <v/>
      </c>
      <c r="C486" s="5"/>
      <c r="D486" s="5"/>
      <c r="E486" s="5"/>
      <c r="F486" s="5"/>
      <c r="G486" s="6"/>
      <c r="H486" s="5"/>
      <c r="I486" s="14" t="str">
        <f t="shared" si="15"/>
        <v/>
      </c>
      <c r="J486" s="5"/>
    </row>
    <row r="487" spans="1:10">
      <c r="A487" s="9"/>
      <c r="B487" s="10" t="str">
        <f t="shared" si="14"/>
        <v/>
      </c>
      <c r="C487" s="5"/>
      <c r="D487" s="5"/>
      <c r="E487" s="5"/>
      <c r="F487" s="5"/>
      <c r="G487" s="6"/>
      <c r="H487" s="5"/>
      <c r="I487" s="14" t="str">
        <f t="shared" si="15"/>
        <v/>
      </c>
      <c r="J487" s="5"/>
    </row>
    <row r="488" spans="1:10">
      <c r="A488" s="9"/>
      <c r="B488" s="10" t="str">
        <f t="shared" si="14"/>
        <v/>
      </c>
      <c r="C488" s="5"/>
      <c r="D488" s="5"/>
      <c r="E488" s="5"/>
      <c r="F488" s="5"/>
      <c r="G488" s="6"/>
      <c r="H488" s="5"/>
      <c r="I488" s="14" t="str">
        <f t="shared" si="15"/>
        <v/>
      </c>
      <c r="J488" s="5"/>
    </row>
    <row r="489" spans="1:10">
      <c r="A489" s="9"/>
      <c r="B489" s="10" t="str">
        <f t="shared" si="14"/>
        <v/>
      </c>
      <c r="C489" s="5"/>
      <c r="D489" s="5"/>
      <c r="E489" s="5"/>
      <c r="F489" s="5"/>
      <c r="G489" s="6"/>
      <c r="H489" s="5"/>
      <c r="I489" s="14" t="str">
        <f t="shared" si="15"/>
        <v/>
      </c>
      <c r="J489" s="5"/>
    </row>
    <row r="490" spans="1:10">
      <c r="A490" s="9"/>
      <c r="B490" s="10" t="str">
        <f t="shared" si="14"/>
        <v/>
      </c>
      <c r="C490" s="5"/>
      <c r="D490" s="5"/>
      <c r="E490" s="5"/>
      <c r="F490" s="5"/>
      <c r="G490" s="6"/>
      <c r="H490" s="5"/>
      <c r="I490" s="14" t="str">
        <f t="shared" si="15"/>
        <v/>
      </c>
      <c r="J490" s="5"/>
    </row>
    <row r="491" spans="1:10">
      <c r="A491" s="9"/>
      <c r="B491" s="10" t="str">
        <f t="shared" si="14"/>
        <v/>
      </c>
      <c r="C491" s="5"/>
      <c r="D491" s="5"/>
      <c r="E491" s="5"/>
      <c r="F491" s="5"/>
      <c r="G491" s="6"/>
      <c r="H491" s="5"/>
      <c r="I491" s="14" t="str">
        <f t="shared" si="15"/>
        <v/>
      </c>
      <c r="J491" s="5"/>
    </row>
    <row r="492" spans="1:10">
      <c r="A492" s="9"/>
      <c r="B492" s="10" t="str">
        <f t="shared" si="14"/>
        <v/>
      </c>
      <c r="C492" s="5"/>
      <c r="D492" s="5"/>
      <c r="E492" s="5"/>
      <c r="F492" s="5"/>
      <c r="G492" s="6"/>
      <c r="H492" s="5"/>
      <c r="I492" s="14" t="str">
        <f t="shared" si="15"/>
        <v/>
      </c>
      <c r="J492" s="5"/>
    </row>
    <row r="493" spans="1:10">
      <c r="A493" s="9"/>
      <c r="B493" s="10" t="str">
        <f t="shared" si="14"/>
        <v/>
      </c>
      <c r="C493" s="5"/>
      <c r="D493" s="5"/>
      <c r="E493" s="5"/>
      <c r="F493" s="5"/>
      <c r="G493" s="6"/>
      <c r="H493" s="5"/>
      <c r="I493" s="14" t="str">
        <f t="shared" si="15"/>
        <v/>
      </c>
      <c r="J493" s="5"/>
    </row>
    <row r="494" spans="1:10">
      <c r="A494" s="9"/>
      <c r="B494" s="10" t="str">
        <f t="shared" si="14"/>
        <v/>
      </c>
      <c r="C494" s="5"/>
      <c r="D494" s="5"/>
      <c r="E494" s="5"/>
      <c r="F494" s="5"/>
      <c r="G494" s="6"/>
      <c r="H494" s="5"/>
      <c r="I494" s="14" t="str">
        <f t="shared" si="15"/>
        <v/>
      </c>
      <c r="J494" s="5"/>
    </row>
    <row r="495" spans="1:10">
      <c r="A495" s="9"/>
      <c r="B495" s="10" t="str">
        <f t="shared" si="14"/>
        <v/>
      </c>
      <c r="C495" s="5"/>
      <c r="D495" s="5"/>
      <c r="E495" s="5"/>
      <c r="F495" s="5"/>
      <c r="G495" s="6"/>
      <c r="H495" s="5"/>
      <c r="I495" s="14" t="str">
        <f t="shared" si="15"/>
        <v/>
      </c>
      <c r="J495" s="5"/>
    </row>
    <row r="496" spans="1:10">
      <c r="A496" s="9"/>
      <c r="B496" s="10" t="str">
        <f t="shared" si="14"/>
        <v/>
      </c>
      <c r="C496" s="5"/>
      <c r="D496" s="5"/>
      <c r="E496" s="5"/>
      <c r="F496" s="5"/>
      <c r="G496" s="6"/>
      <c r="H496" s="5"/>
      <c r="I496" s="14" t="str">
        <f t="shared" si="15"/>
        <v/>
      </c>
      <c r="J496" s="5"/>
    </row>
    <row r="497" spans="1:10">
      <c r="A497" s="9"/>
      <c r="B497" s="10" t="str">
        <f t="shared" si="14"/>
        <v/>
      </c>
      <c r="C497" s="5"/>
      <c r="D497" s="5"/>
      <c r="E497" s="5"/>
      <c r="F497" s="5"/>
      <c r="G497" s="6"/>
      <c r="H497" s="5"/>
      <c r="I497" s="14" t="str">
        <f t="shared" si="15"/>
        <v/>
      </c>
      <c r="J497" s="5"/>
    </row>
    <row r="498" spans="1:10">
      <c r="A498" s="9"/>
      <c r="B498" s="10" t="str">
        <f t="shared" si="14"/>
        <v/>
      </c>
      <c r="C498" s="5"/>
      <c r="D498" s="5"/>
      <c r="E498" s="5"/>
      <c r="F498" s="5"/>
      <c r="G498" s="6"/>
      <c r="H498" s="5"/>
      <c r="I498" s="14" t="str">
        <f t="shared" si="15"/>
        <v/>
      </c>
      <c r="J498" s="5"/>
    </row>
    <row r="499" spans="1:10">
      <c r="A499" s="9"/>
      <c r="B499" s="10" t="str">
        <f t="shared" si="14"/>
        <v/>
      </c>
      <c r="C499" s="5"/>
      <c r="D499" s="5"/>
      <c r="E499" s="5"/>
      <c r="F499" s="5"/>
      <c r="G499" s="6"/>
      <c r="H499" s="5"/>
      <c r="I499" s="14" t="str">
        <f t="shared" si="15"/>
        <v/>
      </c>
      <c r="J499" s="5"/>
    </row>
    <row r="500" spans="1:10">
      <c r="A500" s="9"/>
      <c r="B500" s="10" t="str">
        <f t="shared" si="14"/>
        <v/>
      </c>
      <c r="C500" s="5"/>
      <c r="D500" s="5"/>
      <c r="E500" s="5"/>
      <c r="F500" s="5"/>
      <c r="G500" s="6"/>
      <c r="H500" s="5"/>
      <c r="I500" s="14" t="str">
        <f t="shared" si="15"/>
        <v/>
      </c>
      <c r="J500" s="5"/>
    </row>
  </sheetData>
  <autoFilter ref="A1:J500" xr:uid="{00000000-0009-0000-0000-000004000000}"/>
  <phoneticPr fontId="11" type="noConversion"/>
  <dataValidations count="1">
    <dataValidation type="list" allowBlank="1" sqref="C2:C500" xr:uid="{00000000-0002-0000-0400-000000000000}">
      <formula1>EmployeeNames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0"/>
  <sheetViews>
    <sheetView showGridLines="0" tabSelected="1" workbookViewId="0">
      <selection activeCell="M22" sqref="M22"/>
    </sheetView>
  </sheetViews>
  <sheetFormatPr defaultRowHeight="15"/>
  <cols>
    <col min="1" max="1" width="36" customWidth="1"/>
    <col min="2" max="2" width="16" customWidth="1"/>
    <col min="3" max="3" width="12" customWidth="1"/>
    <col min="4" max="4" width="10" hidden="1" customWidth="1"/>
    <col min="5" max="5" width="12" hidden="1" customWidth="1"/>
  </cols>
  <sheetData>
    <row r="1" spans="1:5" ht="21">
      <c r="A1" s="15" t="s">
        <v>168</v>
      </c>
    </row>
    <row r="3" spans="1:5">
      <c r="A3" s="2" t="s">
        <v>97</v>
      </c>
      <c r="B3" s="16" t="s">
        <v>105</v>
      </c>
      <c r="E3" t="str">
        <f>IFERROR(INDEX(Employees!$C$2:$C$100,MATCH($B$3,Employees!$A$2:$A$100,0)),"")</f>
        <v>統一9折</v>
      </c>
    </row>
    <row r="4" spans="1:5">
      <c r="A4" s="2" t="s">
        <v>169</v>
      </c>
      <c r="B4" s="16" t="s">
        <v>37</v>
      </c>
      <c r="E4">
        <f>IFERROR(INDEX(Employees!$D$2:$D$100,MATCH($B$3,Employees!$A$2:$A$100,0)),0)</f>
        <v>0</v>
      </c>
    </row>
    <row r="5" spans="1:5">
      <c r="E5">
        <f>IFERROR(INDEX(Employees!$E$2:$E$100,MATCH($B$3,Employees!$A$2:$A$100,0)),1)</f>
        <v>1</v>
      </c>
    </row>
    <row r="6" spans="1:5">
      <c r="E6">
        <f>IFERROR(INDEX(Employees!$F$2:$F$100,MATCH($B$3,Employees!$A$2:$A$100,0)),1)</f>
        <v>0.9</v>
      </c>
    </row>
    <row r="7" spans="1:5">
      <c r="A7" s="2" t="s">
        <v>170</v>
      </c>
      <c r="B7" s="17">
        <f>IF(OR(B3="",B4=""),"",SUMIFS(Timesheet!$I$2:$I$500,Timesheet!$B$2:$B$500,$B$4,Timesheet!$C$2:$C$500,$B$3))</f>
        <v>46.5</v>
      </c>
    </row>
    <row r="8" spans="1:5">
      <c r="A8" s="2" t="s">
        <v>98</v>
      </c>
      <c r="B8" s="18">
        <f>IF(B3="","",IFERROR(INDEX(Employees!$B$2:$B$100,MATCH($B$3,Employees!$A$2:$A$100,0)),0))</f>
        <v>198</v>
      </c>
    </row>
    <row r="9" spans="1:5">
      <c r="A9" s="2" t="s">
        <v>171</v>
      </c>
      <c r="B9" s="19">
        <f>IF(B7="","",ROUND(B7*B8,0))</f>
        <v>9207</v>
      </c>
    </row>
    <row r="10" spans="1:5">
      <c r="A10" s="2" t="s">
        <v>172</v>
      </c>
      <c r="B10" s="18">
        <f>IF(OR(B3="",B4=""),"",SUMIFS(Timesheet!$K$2:$K$500,Timesheet!$B$2:$B$500,$B$4,Timesheet!$C$2:$C$500,$B$3))</f>
        <v>120</v>
      </c>
    </row>
    <row r="11" spans="1:5">
      <c r="A11" s="2" t="s">
        <v>194</v>
      </c>
      <c r="B11" s="18">
        <f>IF(OR(B3="",B4=""),"",SUMIFS(Purchases!$I$2:$I$500,Purchases!$B$2:$B$500,$B$4,Purchases!$C$2:$C$500,$B$3))</f>
        <v>0</v>
      </c>
    </row>
    <row r="12" spans="1:5">
      <c r="A12" s="2" t="s">
        <v>195</v>
      </c>
      <c r="B12" s="19">
        <f>IF(B11="","",IF($E$3="88折，滿2500再9折",ROUND(B11*$E$5*IF(B11&gt;=$E$4,$E$6,1),0),IF($E$3="統一9折",ROUND(B11*$E$6,0),ROUND(B11,0))))</f>
        <v>0</v>
      </c>
    </row>
    <row r="13" spans="1:5">
      <c r="A13" s="2" t="s">
        <v>175</v>
      </c>
      <c r="B13" s="19">
        <f>IF(B9="","",B9+B10-B12)</f>
        <v>9327</v>
      </c>
    </row>
    <row r="16" spans="1:5">
      <c r="A16" s="2" t="s">
        <v>176</v>
      </c>
    </row>
    <row r="17" spans="1:1">
      <c r="A17" s="20" t="str">
        <f>IF(B7="","",ROUND(B7,2)&amp;"H * "&amp;ROUND(B8,0)&amp;" = $"&amp;ROUND(B9,0))</f>
        <v>46.5H * 198 = $9207</v>
      </c>
    </row>
    <row r="18" spans="1:1">
      <c r="A18" s="20" t="str">
        <f>IF(B10="","",IF(B10=0,"代墊費用 0 = $0","代墊費用 "&amp;ROUND(B10,0)&amp;" = $"&amp;ROUND(B10,0)))</f>
        <v>代墊費用 120 = $120</v>
      </c>
    </row>
    <row r="19" spans="1:1">
      <c r="A19" s="20" t="str">
        <f>IF(B12="","",IF(B12=0,"員工拿貨 = $0",B4&amp;"拿貨 = $"&amp;ROUND(B12,0)))</f>
        <v>員工拿貨 = $0</v>
      </c>
    </row>
    <row r="20" spans="1:1">
      <c r="A20" s="20" t="str">
        <f>IF(B13="","", "TOTAL："&amp;ROUND(B9,0)&amp;" + "&amp;ROUND(B10,0)&amp;" - "&amp;ROUND(B12,0)&amp;" = $"&amp;ROUND(B13,0))</f>
        <v>TOTAL：9207 + 120 - 0 = $9327</v>
      </c>
    </row>
  </sheetData>
  <phoneticPr fontId="11" type="noConversion"/>
  <dataValidations count="2">
    <dataValidation type="list" allowBlank="1" sqref="B3" xr:uid="{00000000-0002-0000-0500-000000000000}">
      <formula1>EmployeeNames</formula1>
    </dataValidation>
    <dataValidation type="list" allowBlank="1" sqref="B4" xr:uid="{00000000-0002-0000-0500-000001000000}">
      <formula1>MonthList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00"/>
  <sheetViews>
    <sheetView workbookViewId="0">
      <pane ySplit="1" topLeftCell="A2" activePane="bottomLeft" state="frozen"/>
      <selection pane="bottomLeft" activeCell="C9" sqref="C9"/>
    </sheetView>
  </sheetViews>
  <sheetFormatPr defaultRowHeight="15"/>
  <cols>
    <col min="1" max="1" width="12" customWidth="1"/>
    <col min="2" max="2" width="16" customWidth="1"/>
    <col min="3" max="3" width="12" customWidth="1"/>
    <col min="4" max="4" width="10" customWidth="1"/>
    <col min="5" max="9" width="12" customWidth="1"/>
    <col min="10" max="10" width="16" hidden="1" customWidth="1"/>
    <col min="11" max="13" width="10" hidden="1" customWidth="1"/>
  </cols>
  <sheetData>
    <row r="1" spans="1:13">
      <c r="A1" s="4" t="s">
        <v>169</v>
      </c>
      <c r="B1" s="4" t="s">
        <v>97</v>
      </c>
      <c r="C1" s="4" t="s">
        <v>170</v>
      </c>
      <c r="D1" s="4" t="s">
        <v>98</v>
      </c>
      <c r="E1" s="4" t="s">
        <v>171</v>
      </c>
      <c r="F1" s="4" t="s">
        <v>177</v>
      </c>
      <c r="G1" s="4" t="s">
        <v>173</v>
      </c>
      <c r="H1" s="4" t="s">
        <v>174</v>
      </c>
      <c r="I1" s="4" t="s">
        <v>175</v>
      </c>
    </row>
    <row r="2" spans="1:13">
      <c r="A2" s="5" t="s">
        <v>38</v>
      </c>
      <c r="B2" s="5" t="s">
        <v>178</v>
      </c>
      <c r="C2" s="13">
        <f>IF(OR(A2="",B2=""),"",SUMIFS(Timesheet!$I$2:$I$500,Timesheet!$B$2:$B$500,$A2,Timesheet!$C$2:$C$500,$B2))</f>
        <v>51</v>
      </c>
      <c r="D2" s="14">
        <f>IF(B2="","",IFERROR(INDEX(Employees!$B$2:$B$100,MATCH($B2,Employees!$A$2:$A$100,0)),0))</f>
        <v>208</v>
      </c>
      <c r="E2" s="21">
        <f t="shared" ref="E2:E33" si="0">IF(C2="","",ROUND(C2*D2,0))</f>
        <v>10608</v>
      </c>
      <c r="F2" s="14">
        <f>IF(OR(A2="",B2=""),"",SUMIFS(Timesheet!$K$2:$K$500,Timesheet!$B$2:$B$500,$A2,Timesheet!$C$2:$C$500,$B2))</f>
        <v>48</v>
      </c>
      <c r="G2" s="14">
        <f>IF(OR(A2="",B2=""),"",SUMIFS(Purchases!$I$2:$I$500,Purchases!$B$2:$B$500,$A2,Purchases!$C$2:$C$500,$B2))</f>
        <v>3503</v>
      </c>
      <c r="H2" s="21">
        <f t="shared" ref="H2:H33" si="1">IF(G2="","",IF(J2="88折，滿2500再9折",ROUND(G2*L2*IF(G2&gt;=K2,M2,1),0),IF(J2="統一9折",ROUND(G2*M2,0),ROUND(G2,0))))</f>
        <v>2774</v>
      </c>
      <c r="I2" s="21">
        <f t="shared" ref="I2:I33" si="2">IF(E2="","",E2+F2-H2)</f>
        <v>7882</v>
      </c>
      <c r="J2" t="str">
        <f>IFERROR(INDEX(Employees!$C$2:$C$100,MATCH($B2,Employees!$A$2:$A$100,0)),"")</f>
        <v>88折，滿2500再9折</v>
      </c>
      <c r="K2">
        <f>IFERROR(INDEX(Employees!$D$2:$D$100,MATCH($B2,Employees!$A$2:$A$100,0)),0)</f>
        <v>2500</v>
      </c>
      <c r="L2">
        <f>IFERROR(INDEX(Employees!$E$2:$E$100,MATCH($B2,Employees!$A$2:$A$100,0)),1)</f>
        <v>0.88</v>
      </c>
      <c r="M2">
        <f>IFERROR(INDEX(Employees!$F$2:$F$100,MATCH($B2,Employees!$A$2:$A$100,0)),1)</f>
        <v>0.9</v>
      </c>
    </row>
    <row r="3" spans="1:13">
      <c r="A3" s="5" t="s">
        <v>38</v>
      </c>
      <c r="B3" s="5" t="s">
        <v>105</v>
      </c>
      <c r="C3" s="13">
        <f>IF(OR(A3="",B3=""),"",SUMIFS(Timesheet!$I$2:$I$500,Timesheet!$B$2:$B$500,$A3,Timesheet!$C$2:$C$500,$B3))</f>
        <v>22.5</v>
      </c>
      <c r="D3" s="14">
        <f>IF(B3="","",IFERROR(INDEX(Employees!$B$2:$B$100,MATCH($B3,Employees!$A$2:$A$100,0)),0))</f>
        <v>198</v>
      </c>
      <c r="E3" s="21">
        <f t="shared" si="0"/>
        <v>4455</v>
      </c>
      <c r="F3" s="14">
        <f>IF(OR(A3="",B3=""),"",SUMIFS(Timesheet!$K$2:$K$500,Timesheet!$B$2:$B$500,$A3,Timesheet!$C$2:$C$500,$B3))</f>
        <v>0</v>
      </c>
      <c r="G3" s="14">
        <f>IF(OR(A3="",B3=""),"",SUMIFS(Purchases!$I$2:$I$500,Purchases!$B$2:$B$500,$A3,Purchases!$C$2:$C$500,$B3))</f>
        <v>590</v>
      </c>
      <c r="H3" s="21">
        <f t="shared" si="1"/>
        <v>531</v>
      </c>
      <c r="I3" s="21">
        <f t="shared" si="2"/>
        <v>3924</v>
      </c>
      <c r="J3" t="str">
        <f>IFERROR(INDEX(Employees!$C$2:$C$100,MATCH($B3,Employees!$A$2:$A$100,0)),"")</f>
        <v>統一9折</v>
      </c>
      <c r="K3">
        <f>IFERROR(INDEX(Employees!$D$2:$D$100,MATCH($B3,Employees!$A$2:$A$100,0)),0)</f>
        <v>0</v>
      </c>
      <c r="L3">
        <f>IFERROR(INDEX(Employees!$E$2:$E$100,MATCH($B3,Employees!$A$2:$A$100,0)),1)</f>
        <v>1</v>
      </c>
      <c r="M3">
        <f>IFERROR(INDEX(Employees!$F$2:$F$100,MATCH($B3,Employees!$A$2:$A$100,0)),1)</f>
        <v>0.9</v>
      </c>
    </row>
    <row r="4" spans="1:13">
      <c r="A4" s="5" t="s">
        <v>38</v>
      </c>
      <c r="B4" s="5" t="s">
        <v>180</v>
      </c>
      <c r="C4" s="13">
        <f>IF(OR(A4="",B4=""),"",SUMIFS(Timesheet!$I$2:$I$500,Timesheet!$B$2:$B$500,$A4,Timesheet!$C$2:$C$500,$B4))</f>
        <v>56</v>
      </c>
      <c r="D4" s="14">
        <f>IF(B4="","",IFERROR(INDEX(Employees!$B$2:$B$100,MATCH($B4,Employees!$A$2:$A$100,0)),0))</f>
        <v>196</v>
      </c>
      <c r="E4" s="21">
        <f t="shared" si="0"/>
        <v>10976</v>
      </c>
      <c r="F4" s="14">
        <f>IF(OR(A4="",B4=""),"",SUMIFS(Timesheet!$K$2:$K$500,Timesheet!$B$2:$B$500,$A4,Timesheet!$C$2:$C$500,$B4))</f>
        <v>478</v>
      </c>
      <c r="G4" s="14">
        <f>IF(OR(A4="",B4=""),"",SUMIFS(Purchases!$I$2:$I$500,Purchases!$B$2:$B$500,$A4,Purchases!$C$2:$C$500,$B4))</f>
        <v>0</v>
      </c>
      <c r="H4" s="21">
        <f t="shared" si="1"/>
        <v>0</v>
      </c>
      <c r="I4" s="21">
        <f t="shared" si="2"/>
        <v>11454</v>
      </c>
      <c r="J4" t="str">
        <f>IFERROR(INDEX(Employees!$C$2:$C$100,MATCH($B4,Employees!$A$2:$A$100,0)),"")</f>
        <v>統一9折</v>
      </c>
      <c r="K4">
        <f>IFERROR(INDEX(Employees!$D$2:$D$100,MATCH($B4,Employees!$A$2:$A$100,0)),0)</f>
        <v>0</v>
      </c>
      <c r="L4">
        <f>IFERROR(INDEX(Employees!$E$2:$E$100,MATCH($B4,Employees!$A$2:$A$100,0)),1)</f>
        <v>1</v>
      </c>
      <c r="M4">
        <f>IFERROR(INDEX(Employees!$F$2:$F$100,MATCH($B4,Employees!$A$2:$A$100,0)),1)</f>
        <v>0.9</v>
      </c>
    </row>
    <row r="5" spans="1:13">
      <c r="A5" s="5" t="s">
        <v>37</v>
      </c>
      <c r="B5" s="5" t="s">
        <v>178</v>
      </c>
      <c r="C5" s="13">
        <f>IF(OR(A5="",B5=""),"",SUMIFS(Timesheet!$I$2:$I$500,Timesheet!$B$2:$B$500,$A5,Timesheet!$C$2:$C$500,$B5))</f>
        <v>84</v>
      </c>
      <c r="D5" s="14">
        <f>IF(B5="","",IFERROR(INDEX(Employees!$B$2:$B$100,MATCH($B5,Employees!$A$2:$A$100,0)),0))</f>
        <v>208</v>
      </c>
      <c r="E5" s="21">
        <f t="shared" si="0"/>
        <v>17472</v>
      </c>
      <c r="F5" s="14">
        <f>IF(OR(A5="",B5=""),"",SUMIFS(Timesheet!$K$2:$K$500,Timesheet!$B$2:$B$500,$A5,Timesheet!$C$2:$C$500,$B5))</f>
        <v>360</v>
      </c>
      <c r="G5" s="14">
        <f>IF(OR(A5="",B5=""),"",SUMIFS(Purchases!$I$2:$I$500,Purchases!$B$2:$B$500,$A5,Purchases!$C$2:$C$500,$B5))</f>
        <v>3052</v>
      </c>
      <c r="H5" s="21">
        <f t="shared" si="1"/>
        <v>2417</v>
      </c>
      <c r="I5" s="21">
        <f t="shared" si="2"/>
        <v>15415</v>
      </c>
      <c r="J5" t="str">
        <f>IFERROR(INDEX(Employees!$C$2:$C$100,MATCH($B5,Employees!$A$2:$A$100,0)),"")</f>
        <v>88折，滿2500再9折</v>
      </c>
      <c r="K5">
        <f>IFERROR(INDEX(Employees!$D$2:$D$100,MATCH($B5,Employees!$A$2:$A$100,0)),0)</f>
        <v>2500</v>
      </c>
      <c r="L5">
        <f>IFERROR(INDEX(Employees!$E$2:$E$100,MATCH($B5,Employees!$A$2:$A$100,0)),1)</f>
        <v>0.88</v>
      </c>
      <c r="M5">
        <f>IFERROR(INDEX(Employees!$F$2:$F$100,MATCH($B5,Employees!$A$2:$A$100,0)),1)</f>
        <v>0.9</v>
      </c>
    </row>
    <row r="6" spans="1:13">
      <c r="A6" s="5"/>
      <c r="B6" s="5"/>
      <c r="C6" s="13" t="str">
        <f>IF(OR(A6="",B6=""),"",SUMIFS(Timesheet!$I$2:$I$500,Timesheet!$B$2:$B$500,$A6,Timesheet!$C$2:$C$500,$B6))</f>
        <v/>
      </c>
      <c r="D6" s="14" t="str">
        <f>IF(B6="","",IFERROR(INDEX(Employees!$B$2:$B$100,MATCH($B6,Employees!$A$2:$A$100,0)),0))</f>
        <v/>
      </c>
      <c r="E6" s="21" t="str">
        <f t="shared" si="0"/>
        <v/>
      </c>
      <c r="F6" s="14" t="str">
        <f>IF(OR(A6="",B6=""),"",SUMIFS(Timesheet!$K$2:$K$500,Timesheet!$B$2:$B$500,$A6,Timesheet!$C$2:$C$500,$B6))</f>
        <v/>
      </c>
      <c r="G6" s="14" t="str">
        <f>IF(OR(A6="",B6=""),"",SUMIFS(Purchases!$I$2:$I$500,Purchases!$B$2:$B$500,$A6,Purchases!$C$2:$C$500,$B6))</f>
        <v/>
      </c>
      <c r="H6" s="21" t="str">
        <f t="shared" si="1"/>
        <v/>
      </c>
      <c r="I6" s="21" t="str">
        <f t="shared" si="2"/>
        <v/>
      </c>
      <c r="J6" t="str">
        <f>IFERROR(INDEX(Employees!$C$2:$C$100,MATCH($B6,Employees!$A$2:$A$100,0)),"")</f>
        <v/>
      </c>
      <c r="K6">
        <f>IFERROR(INDEX(Employees!$D$2:$D$100,MATCH($B6,Employees!$A$2:$A$100,0)),0)</f>
        <v>0</v>
      </c>
      <c r="L6">
        <f>IFERROR(INDEX(Employees!$E$2:$E$100,MATCH($B6,Employees!$A$2:$A$100,0)),1)</f>
        <v>1</v>
      </c>
      <c r="M6">
        <f>IFERROR(INDEX(Employees!$F$2:$F$100,MATCH($B6,Employees!$A$2:$A$100,0)),1)</f>
        <v>1</v>
      </c>
    </row>
    <row r="7" spans="1:13">
      <c r="A7" s="5"/>
      <c r="B7" s="5"/>
      <c r="C7" s="13" t="str">
        <f>IF(OR(A7="",B7=""),"",SUMIFS(Timesheet!$I$2:$I$500,Timesheet!$B$2:$B$500,$A7,Timesheet!$C$2:$C$500,$B7))</f>
        <v/>
      </c>
      <c r="D7" s="14" t="str">
        <f>IF(B7="","",IFERROR(INDEX(Employees!$B$2:$B$100,MATCH($B7,Employees!$A$2:$A$100,0)),0))</f>
        <v/>
      </c>
      <c r="E7" s="21" t="str">
        <f t="shared" si="0"/>
        <v/>
      </c>
      <c r="F7" s="14" t="str">
        <f>IF(OR(A7="",B7=""),"",SUMIFS(Timesheet!$K$2:$K$500,Timesheet!$B$2:$B$500,$A7,Timesheet!$C$2:$C$500,$B7))</f>
        <v/>
      </c>
      <c r="G7" s="14" t="str">
        <f>IF(OR(A7="",B7=""),"",SUMIFS(Purchases!$I$2:$I$500,Purchases!$B$2:$B$500,$A7,Purchases!$C$2:$C$500,$B7))</f>
        <v/>
      </c>
      <c r="H7" s="21" t="str">
        <f t="shared" si="1"/>
        <v/>
      </c>
      <c r="I7" s="21" t="str">
        <f t="shared" si="2"/>
        <v/>
      </c>
      <c r="J7" t="str">
        <f>IFERROR(INDEX(Employees!$C$2:$C$100,MATCH($B7,Employees!$A$2:$A$100,0)),"")</f>
        <v/>
      </c>
      <c r="K7">
        <f>IFERROR(INDEX(Employees!$D$2:$D$100,MATCH($B7,Employees!$A$2:$A$100,0)),0)</f>
        <v>0</v>
      </c>
      <c r="L7">
        <f>IFERROR(INDEX(Employees!$E$2:$E$100,MATCH($B7,Employees!$A$2:$A$100,0)),1)</f>
        <v>1</v>
      </c>
      <c r="M7">
        <f>IFERROR(INDEX(Employees!$F$2:$F$100,MATCH($B7,Employees!$A$2:$A$100,0)),1)</f>
        <v>1</v>
      </c>
    </row>
    <row r="8" spans="1:13">
      <c r="A8" s="5"/>
      <c r="B8" s="5"/>
      <c r="C8" s="13" t="str">
        <f>IF(OR(A8="",B8=""),"",SUMIFS(Timesheet!$I$2:$I$500,Timesheet!$B$2:$B$500,$A8,Timesheet!$C$2:$C$500,$B8))</f>
        <v/>
      </c>
      <c r="D8" s="14" t="str">
        <f>IF(B8="","",IFERROR(INDEX(Employees!$B$2:$B$100,MATCH($B8,Employees!$A$2:$A$100,0)),0))</f>
        <v/>
      </c>
      <c r="E8" s="21" t="str">
        <f t="shared" si="0"/>
        <v/>
      </c>
      <c r="F8" s="14" t="str">
        <f>IF(OR(A8="",B8=""),"",SUMIFS(Timesheet!$K$2:$K$500,Timesheet!$B$2:$B$500,$A8,Timesheet!$C$2:$C$500,$B8))</f>
        <v/>
      </c>
      <c r="G8" s="14" t="str">
        <f>IF(OR(A8="",B8=""),"",SUMIFS(Purchases!$I$2:$I$500,Purchases!$B$2:$B$500,$A8,Purchases!$C$2:$C$500,$B8))</f>
        <v/>
      </c>
      <c r="H8" s="21" t="str">
        <f t="shared" si="1"/>
        <v/>
      </c>
      <c r="I8" s="21" t="str">
        <f t="shared" si="2"/>
        <v/>
      </c>
      <c r="J8" t="str">
        <f>IFERROR(INDEX(Employees!$C$2:$C$100,MATCH($B8,Employees!$A$2:$A$100,0)),"")</f>
        <v/>
      </c>
      <c r="K8">
        <f>IFERROR(INDEX(Employees!$D$2:$D$100,MATCH($B8,Employees!$A$2:$A$100,0)),0)</f>
        <v>0</v>
      </c>
      <c r="L8">
        <f>IFERROR(INDEX(Employees!$E$2:$E$100,MATCH($B8,Employees!$A$2:$A$100,0)),1)</f>
        <v>1</v>
      </c>
      <c r="M8">
        <f>IFERROR(INDEX(Employees!$F$2:$F$100,MATCH($B8,Employees!$A$2:$A$100,0)),1)</f>
        <v>1</v>
      </c>
    </row>
    <row r="9" spans="1:13">
      <c r="A9" s="5"/>
      <c r="B9" s="5"/>
      <c r="C9" s="13" t="str">
        <f>IF(OR(A9="",B9=""),"",SUMIFS(Timesheet!$I$2:$I$500,Timesheet!$B$2:$B$500,$A9,Timesheet!$C$2:$C$500,$B9))</f>
        <v/>
      </c>
      <c r="D9" s="14" t="str">
        <f>IF(B9="","",IFERROR(INDEX(Employees!$B$2:$B$100,MATCH($B9,Employees!$A$2:$A$100,0)),0))</f>
        <v/>
      </c>
      <c r="E9" s="21" t="str">
        <f t="shared" si="0"/>
        <v/>
      </c>
      <c r="F9" s="14" t="str">
        <f>IF(OR(A9="",B9=""),"",SUMIFS(Timesheet!$K$2:$K$500,Timesheet!$B$2:$B$500,$A9,Timesheet!$C$2:$C$500,$B9))</f>
        <v/>
      </c>
      <c r="G9" s="14" t="str">
        <f>IF(OR(A9="",B9=""),"",SUMIFS(Purchases!$I$2:$I$500,Purchases!$B$2:$B$500,$A9,Purchases!$C$2:$C$500,$B9))</f>
        <v/>
      </c>
      <c r="H9" s="21" t="str">
        <f t="shared" si="1"/>
        <v/>
      </c>
      <c r="I9" s="21" t="str">
        <f t="shared" si="2"/>
        <v/>
      </c>
      <c r="J9" t="str">
        <f>IFERROR(INDEX(Employees!$C$2:$C$100,MATCH($B9,Employees!$A$2:$A$100,0)),"")</f>
        <v/>
      </c>
      <c r="K9">
        <f>IFERROR(INDEX(Employees!$D$2:$D$100,MATCH($B9,Employees!$A$2:$A$100,0)),0)</f>
        <v>0</v>
      </c>
      <c r="L9">
        <f>IFERROR(INDEX(Employees!$E$2:$E$100,MATCH($B9,Employees!$A$2:$A$100,0)),1)</f>
        <v>1</v>
      </c>
      <c r="M9">
        <f>IFERROR(INDEX(Employees!$F$2:$F$100,MATCH($B9,Employees!$A$2:$A$100,0)),1)</f>
        <v>1</v>
      </c>
    </row>
    <row r="10" spans="1:13">
      <c r="A10" s="5"/>
      <c r="B10" s="5"/>
      <c r="C10" s="13" t="str">
        <f>IF(OR(A10="",B10=""),"",SUMIFS(Timesheet!$I$2:$I$500,Timesheet!$B$2:$B$500,$A10,Timesheet!$C$2:$C$500,$B10))</f>
        <v/>
      </c>
      <c r="D10" s="14" t="str">
        <f>IF(B10="","",IFERROR(INDEX(Employees!$B$2:$B$100,MATCH($B10,Employees!$A$2:$A$100,0)),0))</f>
        <v/>
      </c>
      <c r="E10" s="21" t="str">
        <f t="shared" si="0"/>
        <v/>
      </c>
      <c r="F10" s="14" t="str">
        <f>IF(OR(A10="",B10=""),"",SUMIFS(Timesheet!$K$2:$K$500,Timesheet!$B$2:$B$500,$A10,Timesheet!$C$2:$C$500,$B10))</f>
        <v/>
      </c>
      <c r="G10" s="14" t="str">
        <f>IF(OR(A10="",B10=""),"",SUMIFS(Purchases!$I$2:$I$500,Purchases!$B$2:$B$500,$A10,Purchases!$C$2:$C$500,$B10))</f>
        <v/>
      </c>
      <c r="H10" s="21" t="str">
        <f t="shared" si="1"/>
        <v/>
      </c>
      <c r="I10" s="21" t="str">
        <f t="shared" si="2"/>
        <v/>
      </c>
      <c r="J10" t="str">
        <f>IFERROR(INDEX(Employees!$C$2:$C$100,MATCH($B10,Employees!$A$2:$A$100,0)),"")</f>
        <v/>
      </c>
      <c r="K10">
        <f>IFERROR(INDEX(Employees!$D$2:$D$100,MATCH($B10,Employees!$A$2:$A$100,0)),0)</f>
        <v>0</v>
      </c>
      <c r="L10">
        <f>IFERROR(INDEX(Employees!$E$2:$E$100,MATCH($B10,Employees!$A$2:$A$100,0)),1)</f>
        <v>1</v>
      </c>
      <c r="M10">
        <f>IFERROR(INDEX(Employees!$F$2:$F$100,MATCH($B10,Employees!$A$2:$A$100,0)),1)</f>
        <v>1</v>
      </c>
    </row>
    <row r="11" spans="1:13">
      <c r="A11" s="5"/>
      <c r="B11" s="5"/>
      <c r="C11" s="13" t="str">
        <f>IF(OR(A11="",B11=""),"",SUMIFS(Timesheet!$I$2:$I$500,Timesheet!$B$2:$B$500,$A11,Timesheet!$C$2:$C$500,$B11))</f>
        <v/>
      </c>
      <c r="D11" s="14" t="str">
        <f>IF(B11="","",IFERROR(INDEX(Employees!$B$2:$B$100,MATCH($B11,Employees!$A$2:$A$100,0)),0))</f>
        <v/>
      </c>
      <c r="E11" s="21" t="str">
        <f t="shared" si="0"/>
        <v/>
      </c>
      <c r="F11" s="14" t="str">
        <f>IF(OR(A11="",B11=""),"",SUMIFS(Timesheet!$K$2:$K$500,Timesheet!$B$2:$B$500,$A11,Timesheet!$C$2:$C$500,$B11))</f>
        <v/>
      </c>
      <c r="G11" s="14" t="str">
        <f>IF(OR(A11="",B11=""),"",SUMIFS(Purchases!$I$2:$I$500,Purchases!$B$2:$B$500,$A11,Purchases!$C$2:$C$500,$B11))</f>
        <v/>
      </c>
      <c r="H11" s="21" t="str">
        <f t="shared" si="1"/>
        <v/>
      </c>
      <c r="I11" s="21" t="str">
        <f t="shared" si="2"/>
        <v/>
      </c>
      <c r="J11" t="str">
        <f>IFERROR(INDEX(Employees!$C$2:$C$100,MATCH($B11,Employees!$A$2:$A$100,0)),"")</f>
        <v/>
      </c>
      <c r="K11">
        <f>IFERROR(INDEX(Employees!$D$2:$D$100,MATCH($B11,Employees!$A$2:$A$100,0)),0)</f>
        <v>0</v>
      </c>
      <c r="L11">
        <f>IFERROR(INDEX(Employees!$E$2:$E$100,MATCH($B11,Employees!$A$2:$A$100,0)),1)</f>
        <v>1</v>
      </c>
      <c r="M11">
        <f>IFERROR(INDEX(Employees!$F$2:$F$100,MATCH($B11,Employees!$A$2:$A$100,0)),1)</f>
        <v>1</v>
      </c>
    </row>
    <row r="12" spans="1:13">
      <c r="A12" s="5"/>
      <c r="B12" s="5"/>
      <c r="C12" s="13" t="str">
        <f>IF(OR(A12="",B12=""),"",SUMIFS(Timesheet!$I$2:$I$500,Timesheet!$B$2:$B$500,$A12,Timesheet!$C$2:$C$500,$B12))</f>
        <v/>
      </c>
      <c r="D12" s="14" t="str">
        <f>IF(B12="","",IFERROR(INDEX(Employees!$B$2:$B$100,MATCH($B12,Employees!$A$2:$A$100,0)),0))</f>
        <v/>
      </c>
      <c r="E12" s="21" t="str">
        <f t="shared" si="0"/>
        <v/>
      </c>
      <c r="F12" s="14" t="str">
        <f>IF(OR(A12="",B12=""),"",SUMIFS(Timesheet!$K$2:$K$500,Timesheet!$B$2:$B$500,$A12,Timesheet!$C$2:$C$500,$B12))</f>
        <v/>
      </c>
      <c r="G12" s="14" t="str">
        <f>IF(OR(A12="",B12=""),"",SUMIFS(Purchases!$I$2:$I$500,Purchases!$B$2:$B$500,$A12,Purchases!$C$2:$C$500,$B12))</f>
        <v/>
      </c>
      <c r="H12" s="21" t="str">
        <f t="shared" si="1"/>
        <v/>
      </c>
      <c r="I12" s="21" t="str">
        <f t="shared" si="2"/>
        <v/>
      </c>
      <c r="J12" t="str">
        <f>IFERROR(INDEX(Employees!$C$2:$C$100,MATCH($B12,Employees!$A$2:$A$100,0)),"")</f>
        <v/>
      </c>
      <c r="K12">
        <f>IFERROR(INDEX(Employees!$D$2:$D$100,MATCH($B12,Employees!$A$2:$A$100,0)),0)</f>
        <v>0</v>
      </c>
      <c r="L12">
        <f>IFERROR(INDEX(Employees!$E$2:$E$100,MATCH($B12,Employees!$A$2:$A$100,0)),1)</f>
        <v>1</v>
      </c>
      <c r="M12">
        <f>IFERROR(INDEX(Employees!$F$2:$F$100,MATCH($B12,Employees!$A$2:$A$100,0)),1)</f>
        <v>1</v>
      </c>
    </row>
    <row r="13" spans="1:13">
      <c r="A13" s="5"/>
      <c r="B13" s="5"/>
      <c r="C13" s="13" t="str">
        <f>IF(OR(A13="",B13=""),"",SUMIFS(Timesheet!$I$2:$I$500,Timesheet!$B$2:$B$500,$A13,Timesheet!$C$2:$C$500,$B13))</f>
        <v/>
      </c>
      <c r="D13" s="14" t="str">
        <f>IF(B13="","",IFERROR(INDEX(Employees!$B$2:$B$100,MATCH($B13,Employees!$A$2:$A$100,0)),0))</f>
        <v/>
      </c>
      <c r="E13" s="21" t="str">
        <f t="shared" si="0"/>
        <v/>
      </c>
      <c r="F13" s="14" t="str">
        <f>IF(OR(A13="",B13=""),"",SUMIFS(Timesheet!$K$2:$K$500,Timesheet!$B$2:$B$500,$A13,Timesheet!$C$2:$C$500,$B13))</f>
        <v/>
      </c>
      <c r="G13" s="14" t="str">
        <f>IF(OR(A13="",B13=""),"",SUMIFS(Purchases!$I$2:$I$500,Purchases!$B$2:$B$500,$A13,Purchases!$C$2:$C$500,$B13))</f>
        <v/>
      </c>
      <c r="H13" s="21" t="str">
        <f t="shared" si="1"/>
        <v/>
      </c>
      <c r="I13" s="21" t="str">
        <f t="shared" si="2"/>
        <v/>
      </c>
      <c r="J13" t="str">
        <f>IFERROR(INDEX(Employees!$C$2:$C$100,MATCH($B13,Employees!$A$2:$A$100,0)),"")</f>
        <v/>
      </c>
      <c r="K13">
        <f>IFERROR(INDEX(Employees!$D$2:$D$100,MATCH($B13,Employees!$A$2:$A$100,0)),0)</f>
        <v>0</v>
      </c>
      <c r="L13">
        <f>IFERROR(INDEX(Employees!$E$2:$E$100,MATCH($B13,Employees!$A$2:$A$100,0)),1)</f>
        <v>1</v>
      </c>
      <c r="M13">
        <f>IFERROR(INDEX(Employees!$F$2:$F$100,MATCH($B13,Employees!$A$2:$A$100,0)),1)</f>
        <v>1</v>
      </c>
    </row>
    <row r="14" spans="1:13">
      <c r="A14" s="5"/>
      <c r="B14" s="5"/>
      <c r="C14" s="13" t="str">
        <f>IF(OR(A14="",B14=""),"",SUMIFS(Timesheet!$I$2:$I$500,Timesheet!$B$2:$B$500,$A14,Timesheet!$C$2:$C$500,$B14))</f>
        <v/>
      </c>
      <c r="D14" s="14" t="str">
        <f>IF(B14="","",IFERROR(INDEX(Employees!$B$2:$B$100,MATCH($B14,Employees!$A$2:$A$100,0)),0))</f>
        <v/>
      </c>
      <c r="E14" s="21" t="str">
        <f t="shared" si="0"/>
        <v/>
      </c>
      <c r="F14" s="14" t="str">
        <f>IF(OR(A14="",B14=""),"",SUMIFS(Timesheet!$K$2:$K$500,Timesheet!$B$2:$B$500,$A14,Timesheet!$C$2:$C$500,$B14))</f>
        <v/>
      </c>
      <c r="G14" s="14" t="str">
        <f>IF(OR(A14="",B14=""),"",SUMIFS(Purchases!$I$2:$I$500,Purchases!$B$2:$B$500,$A14,Purchases!$C$2:$C$500,$B14))</f>
        <v/>
      </c>
      <c r="H14" s="21" t="str">
        <f t="shared" si="1"/>
        <v/>
      </c>
      <c r="I14" s="21" t="str">
        <f t="shared" si="2"/>
        <v/>
      </c>
      <c r="J14" t="str">
        <f>IFERROR(INDEX(Employees!$C$2:$C$100,MATCH($B14,Employees!$A$2:$A$100,0)),"")</f>
        <v/>
      </c>
      <c r="K14">
        <f>IFERROR(INDEX(Employees!$D$2:$D$100,MATCH($B14,Employees!$A$2:$A$100,0)),0)</f>
        <v>0</v>
      </c>
      <c r="L14">
        <f>IFERROR(INDEX(Employees!$E$2:$E$100,MATCH($B14,Employees!$A$2:$A$100,0)),1)</f>
        <v>1</v>
      </c>
      <c r="M14">
        <f>IFERROR(INDEX(Employees!$F$2:$F$100,MATCH($B14,Employees!$A$2:$A$100,0)),1)</f>
        <v>1</v>
      </c>
    </row>
    <row r="15" spans="1:13">
      <c r="A15" s="5"/>
      <c r="B15" s="5"/>
      <c r="C15" s="13" t="str">
        <f>IF(OR(A15="",B15=""),"",SUMIFS(Timesheet!$I$2:$I$500,Timesheet!$B$2:$B$500,$A15,Timesheet!$C$2:$C$500,$B15))</f>
        <v/>
      </c>
      <c r="D15" s="14" t="str">
        <f>IF(B15="","",IFERROR(INDEX(Employees!$B$2:$B$100,MATCH($B15,Employees!$A$2:$A$100,0)),0))</f>
        <v/>
      </c>
      <c r="E15" s="21" t="str">
        <f t="shared" si="0"/>
        <v/>
      </c>
      <c r="F15" s="14" t="str">
        <f>IF(OR(A15="",B15=""),"",SUMIFS(Timesheet!$K$2:$K$500,Timesheet!$B$2:$B$500,$A15,Timesheet!$C$2:$C$500,$B15))</f>
        <v/>
      </c>
      <c r="G15" s="14" t="str">
        <f>IF(OR(A15="",B15=""),"",SUMIFS(Purchases!$I$2:$I$500,Purchases!$B$2:$B$500,$A15,Purchases!$C$2:$C$500,$B15))</f>
        <v/>
      </c>
      <c r="H15" s="21" t="str">
        <f t="shared" si="1"/>
        <v/>
      </c>
      <c r="I15" s="21" t="str">
        <f t="shared" si="2"/>
        <v/>
      </c>
      <c r="J15" t="str">
        <f>IFERROR(INDEX(Employees!$C$2:$C$100,MATCH($B15,Employees!$A$2:$A$100,0)),"")</f>
        <v/>
      </c>
      <c r="K15">
        <f>IFERROR(INDEX(Employees!$D$2:$D$100,MATCH($B15,Employees!$A$2:$A$100,0)),0)</f>
        <v>0</v>
      </c>
      <c r="L15">
        <f>IFERROR(INDEX(Employees!$E$2:$E$100,MATCH($B15,Employees!$A$2:$A$100,0)),1)</f>
        <v>1</v>
      </c>
      <c r="M15">
        <f>IFERROR(INDEX(Employees!$F$2:$F$100,MATCH($B15,Employees!$A$2:$A$100,0)),1)</f>
        <v>1</v>
      </c>
    </row>
    <row r="16" spans="1:13">
      <c r="A16" s="5"/>
      <c r="B16" s="5"/>
      <c r="C16" s="13" t="str">
        <f>IF(OR(A16="",B16=""),"",SUMIFS(Timesheet!$I$2:$I$500,Timesheet!$B$2:$B$500,$A16,Timesheet!$C$2:$C$500,$B16))</f>
        <v/>
      </c>
      <c r="D16" s="14" t="str">
        <f>IF(B16="","",IFERROR(INDEX(Employees!$B$2:$B$100,MATCH($B16,Employees!$A$2:$A$100,0)),0))</f>
        <v/>
      </c>
      <c r="E16" s="21" t="str">
        <f t="shared" si="0"/>
        <v/>
      </c>
      <c r="F16" s="14" t="str">
        <f>IF(OR(A16="",B16=""),"",SUMIFS(Timesheet!$K$2:$K$500,Timesheet!$B$2:$B$500,$A16,Timesheet!$C$2:$C$500,$B16))</f>
        <v/>
      </c>
      <c r="G16" s="14" t="str">
        <f>IF(OR(A16="",B16=""),"",SUMIFS(Purchases!$I$2:$I$500,Purchases!$B$2:$B$500,$A16,Purchases!$C$2:$C$500,$B16))</f>
        <v/>
      </c>
      <c r="H16" s="21" t="str">
        <f t="shared" si="1"/>
        <v/>
      </c>
      <c r="I16" s="21" t="str">
        <f t="shared" si="2"/>
        <v/>
      </c>
      <c r="J16" t="str">
        <f>IFERROR(INDEX(Employees!$C$2:$C$100,MATCH($B16,Employees!$A$2:$A$100,0)),"")</f>
        <v/>
      </c>
      <c r="K16">
        <f>IFERROR(INDEX(Employees!$D$2:$D$100,MATCH($B16,Employees!$A$2:$A$100,0)),0)</f>
        <v>0</v>
      </c>
      <c r="L16">
        <f>IFERROR(INDEX(Employees!$E$2:$E$100,MATCH($B16,Employees!$A$2:$A$100,0)),1)</f>
        <v>1</v>
      </c>
      <c r="M16">
        <f>IFERROR(INDEX(Employees!$F$2:$F$100,MATCH($B16,Employees!$A$2:$A$100,0)),1)</f>
        <v>1</v>
      </c>
    </row>
    <row r="17" spans="1:13">
      <c r="A17" s="5"/>
      <c r="B17" s="5"/>
      <c r="C17" s="13" t="str">
        <f>IF(OR(A17="",B17=""),"",SUMIFS(Timesheet!$I$2:$I$500,Timesheet!$B$2:$B$500,$A17,Timesheet!$C$2:$C$500,$B17))</f>
        <v/>
      </c>
      <c r="D17" s="14" t="str">
        <f>IF(B17="","",IFERROR(INDEX(Employees!$B$2:$B$100,MATCH($B17,Employees!$A$2:$A$100,0)),0))</f>
        <v/>
      </c>
      <c r="E17" s="21" t="str">
        <f t="shared" si="0"/>
        <v/>
      </c>
      <c r="F17" s="14" t="str">
        <f>IF(OR(A17="",B17=""),"",SUMIFS(Timesheet!$K$2:$K$500,Timesheet!$B$2:$B$500,$A17,Timesheet!$C$2:$C$500,$B17))</f>
        <v/>
      </c>
      <c r="G17" s="14" t="str">
        <f>IF(OR(A17="",B17=""),"",SUMIFS(Purchases!$I$2:$I$500,Purchases!$B$2:$B$500,$A17,Purchases!$C$2:$C$500,$B17))</f>
        <v/>
      </c>
      <c r="H17" s="21" t="str">
        <f t="shared" si="1"/>
        <v/>
      </c>
      <c r="I17" s="21" t="str">
        <f t="shared" si="2"/>
        <v/>
      </c>
      <c r="J17" t="str">
        <f>IFERROR(INDEX(Employees!$C$2:$C$100,MATCH($B17,Employees!$A$2:$A$100,0)),"")</f>
        <v/>
      </c>
      <c r="K17">
        <f>IFERROR(INDEX(Employees!$D$2:$D$100,MATCH($B17,Employees!$A$2:$A$100,0)),0)</f>
        <v>0</v>
      </c>
      <c r="L17">
        <f>IFERROR(INDEX(Employees!$E$2:$E$100,MATCH($B17,Employees!$A$2:$A$100,0)),1)</f>
        <v>1</v>
      </c>
      <c r="M17">
        <f>IFERROR(INDEX(Employees!$F$2:$F$100,MATCH($B17,Employees!$A$2:$A$100,0)),1)</f>
        <v>1</v>
      </c>
    </row>
    <row r="18" spans="1:13">
      <c r="A18" s="5"/>
      <c r="B18" s="5"/>
      <c r="C18" s="13" t="str">
        <f>IF(OR(A18="",B18=""),"",SUMIFS(Timesheet!$I$2:$I$500,Timesheet!$B$2:$B$500,$A18,Timesheet!$C$2:$C$500,$B18))</f>
        <v/>
      </c>
      <c r="D18" s="14" t="str">
        <f>IF(B18="","",IFERROR(INDEX(Employees!$B$2:$B$100,MATCH($B18,Employees!$A$2:$A$100,0)),0))</f>
        <v/>
      </c>
      <c r="E18" s="21" t="str">
        <f t="shared" si="0"/>
        <v/>
      </c>
      <c r="F18" s="14" t="str">
        <f>IF(OR(A18="",B18=""),"",SUMIFS(Timesheet!$K$2:$K$500,Timesheet!$B$2:$B$500,$A18,Timesheet!$C$2:$C$500,$B18))</f>
        <v/>
      </c>
      <c r="G18" s="14" t="str">
        <f>IF(OR(A18="",B18=""),"",SUMIFS(Purchases!$I$2:$I$500,Purchases!$B$2:$B$500,$A18,Purchases!$C$2:$C$500,$B18))</f>
        <v/>
      </c>
      <c r="H18" s="21" t="str">
        <f t="shared" si="1"/>
        <v/>
      </c>
      <c r="I18" s="21" t="str">
        <f t="shared" si="2"/>
        <v/>
      </c>
      <c r="J18" t="str">
        <f>IFERROR(INDEX(Employees!$C$2:$C$100,MATCH($B18,Employees!$A$2:$A$100,0)),"")</f>
        <v/>
      </c>
      <c r="K18">
        <f>IFERROR(INDEX(Employees!$D$2:$D$100,MATCH($B18,Employees!$A$2:$A$100,0)),0)</f>
        <v>0</v>
      </c>
      <c r="L18">
        <f>IFERROR(INDEX(Employees!$E$2:$E$100,MATCH($B18,Employees!$A$2:$A$100,0)),1)</f>
        <v>1</v>
      </c>
      <c r="M18">
        <f>IFERROR(INDEX(Employees!$F$2:$F$100,MATCH($B18,Employees!$A$2:$A$100,0)),1)</f>
        <v>1</v>
      </c>
    </row>
    <row r="19" spans="1:13">
      <c r="A19" s="5"/>
      <c r="B19" s="5"/>
      <c r="C19" s="13" t="str">
        <f>IF(OR(A19="",B19=""),"",SUMIFS(Timesheet!$I$2:$I$500,Timesheet!$B$2:$B$500,$A19,Timesheet!$C$2:$C$500,$B19))</f>
        <v/>
      </c>
      <c r="D19" s="14" t="str">
        <f>IF(B19="","",IFERROR(INDEX(Employees!$B$2:$B$100,MATCH($B19,Employees!$A$2:$A$100,0)),0))</f>
        <v/>
      </c>
      <c r="E19" s="21" t="str">
        <f t="shared" si="0"/>
        <v/>
      </c>
      <c r="F19" s="14" t="str">
        <f>IF(OR(A19="",B19=""),"",SUMIFS(Timesheet!$K$2:$K$500,Timesheet!$B$2:$B$500,$A19,Timesheet!$C$2:$C$500,$B19))</f>
        <v/>
      </c>
      <c r="G19" s="14" t="str">
        <f>IF(OR(A19="",B19=""),"",SUMIFS(Purchases!$I$2:$I$500,Purchases!$B$2:$B$500,$A19,Purchases!$C$2:$C$500,$B19))</f>
        <v/>
      </c>
      <c r="H19" s="21" t="str">
        <f t="shared" si="1"/>
        <v/>
      </c>
      <c r="I19" s="21" t="str">
        <f t="shared" si="2"/>
        <v/>
      </c>
      <c r="J19" t="str">
        <f>IFERROR(INDEX(Employees!$C$2:$C$100,MATCH($B19,Employees!$A$2:$A$100,0)),"")</f>
        <v/>
      </c>
      <c r="K19">
        <f>IFERROR(INDEX(Employees!$D$2:$D$100,MATCH($B19,Employees!$A$2:$A$100,0)),0)</f>
        <v>0</v>
      </c>
      <c r="L19">
        <f>IFERROR(INDEX(Employees!$E$2:$E$100,MATCH($B19,Employees!$A$2:$A$100,0)),1)</f>
        <v>1</v>
      </c>
      <c r="M19">
        <f>IFERROR(INDEX(Employees!$F$2:$F$100,MATCH($B19,Employees!$A$2:$A$100,0)),1)</f>
        <v>1</v>
      </c>
    </row>
    <row r="20" spans="1:13">
      <c r="A20" s="5"/>
      <c r="B20" s="5"/>
      <c r="C20" s="13" t="str">
        <f>IF(OR(A20="",B20=""),"",SUMIFS(Timesheet!$I$2:$I$500,Timesheet!$B$2:$B$500,$A20,Timesheet!$C$2:$C$500,$B20))</f>
        <v/>
      </c>
      <c r="D20" s="14" t="str">
        <f>IF(B20="","",IFERROR(INDEX(Employees!$B$2:$B$100,MATCH($B20,Employees!$A$2:$A$100,0)),0))</f>
        <v/>
      </c>
      <c r="E20" s="21" t="str">
        <f t="shared" si="0"/>
        <v/>
      </c>
      <c r="F20" s="14" t="str">
        <f>IF(OR(A20="",B20=""),"",SUMIFS(Timesheet!$K$2:$K$500,Timesheet!$B$2:$B$500,$A20,Timesheet!$C$2:$C$500,$B20))</f>
        <v/>
      </c>
      <c r="G20" s="14" t="str">
        <f>IF(OR(A20="",B20=""),"",SUMIFS(Purchases!$I$2:$I$500,Purchases!$B$2:$B$500,$A20,Purchases!$C$2:$C$500,$B20))</f>
        <v/>
      </c>
      <c r="H20" s="21" t="str">
        <f t="shared" si="1"/>
        <v/>
      </c>
      <c r="I20" s="21" t="str">
        <f t="shared" si="2"/>
        <v/>
      </c>
      <c r="J20" t="str">
        <f>IFERROR(INDEX(Employees!$C$2:$C$100,MATCH($B20,Employees!$A$2:$A$100,0)),"")</f>
        <v/>
      </c>
      <c r="K20">
        <f>IFERROR(INDEX(Employees!$D$2:$D$100,MATCH($B20,Employees!$A$2:$A$100,0)),0)</f>
        <v>0</v>
      </c>
      <c r="L20">
        <f>IFERROR(INDEX(Employees!$E$2:$E$100,MATCH($B20,Employees!$A$2:$A$100,0)),1)</f>
        <v>1</v>
      </c>
      <c r="M20">
        <f>IFERROR(INDEX(Employees!$F$2:$F$100,MATCH($B20,Employees!$A$2:$A$100,0)),1)</f>
        <v>1</v>
      </c>
    </row>
    <row r="21" spans="1:13">
      <c r="A21" s="5"/>
      <c r="B21" s="5"/>
      <c r="C21" s="13" t="str">
        <f>IF(OR(A21="",B21=""),"",SUMIFS(Timesheet!$I$2:$I$500,Timesheet!$B$2:$B$500,$A21,Timesheet!$C$2:$C$500,$B21))</f>
        <v/>
      </c>
      <c r="D21" s="14" t="str">
        <f>IF(B21="","",IFERROR(INDEX(Employees!$B$2:$B$100,MATCH($B21,Employees!$A$2:$A$100,0)),0))</f>
        <v/>
      </c>
      <c r="E21" s="21" t="str">
        <f t="shared" si="0"/>
        <v/>
      </c>
      <c r="F21" s="14" t="str">
        <f>IF(OR(A21="",B21=""),"",SUMIFS(Timesheet!$K$2:$K$500,Timesheet!$B$2:$B$500,$A21,Timesheet!$C$2:$C$500,$B21))</f>
        <v/>
      </c>
      <c r="G21" s="14" t="str">
        <f>IF(OR(A21="",B21=""),"",SUMIFS(Purchases!$I$2:$I$500,Purchases!$B$2:$B$500,$A21,Purchases!$C$2:$C$500,$B21))</f>
        <v/>
      </c>
      <c r="H21" s="21" t="str">
        <f t="shared" si="1"/>
        <v/>
      </c>
      <c r="I21" s="21" t="str">
        <f t="shared" si="2"/>
        <v/>
      </c>
      <c r="J21" t="str">
        <f>IFERROR(INDEX(Employees!$C$2:$C$100,MATCH($B21,Employees!$A$2:$A$100,0)),"")</f>
        <v/>
      </c>
      <c r="K21">
        <f>IFERROR(INDEX(Employees!$D$2:$D$100,MATCH($B21,Employees!$A$2:$A$100,0)),0)</f>
        <v>0</v>
      </c>
      <c r="L21">
        <f>IFERROR(INDEX(Employees!$E$2:$E$100,MATCH($B21,Employees!$A$2:$A$100,0)),1)</f>
        <v>1</v>
      </c>
      <c r="M21">
        <f>IFERROR(INDEX(Employees!$F$2:$F$100,MATCH($B21,Employees!$A$2:$A$100,0)),1)</f>
        <v>1</v>
      </c>
    </row>
    <row r="22" spans="1:13">
      <c r="A22" s="5"/>
      <c r="B22" s="5"/>
      <c r="C22" s="13" t="str">
        <f>IF(OR(A22="",B22=""),"",SUMIFS(Timesheet!$I$2:$I$500,Timesheet!$B$2:$B$500,$A22,Timesheet!$C$2:$C$500,$B22))</f>
        <v/>
      </c>
      <c r="D22" s="14" t="str">
        <f>IF(B22="","",IFERROR(INDEX(Employees!$B$2:$B$100,MATCH($B22,Employees!$A$2:$A$100,0)),0))</f>
        <v/>
      </c>
      <c r="E22" s="21" t="str">
        <f t="shared" si="0"/>
        <v/>
      </c>
      <c r="F22" s="14" t="str">
        <f>IF(OR(A22="",B22=""),"",SUMIFS(Timesheet!$K$2:$K$500,Timesheet!$B$2:$B$500,$A22,Timesheet!$C$2:$C$500,$B22))</f>
        <v/>
      </c>
      <c r="G22" s="14" t="str">
        <f>IF(OR(A22="",B22=""),"",SUMIFS(Purchases!$I$2:$I$500,Purchases!$B$2:$B$500,$A22,Purchases!$C$2:$C$500,$B22))</f>
        <v/>
      </c>
      <c r="H22" s="21" t="str">
        <f t="shared" si="1"/>
        <v/>
      </c>
      <c r="I22" s="21" t="str">
        <f t="shared" si="2"/>
        <v/>
      </c>
      <c r="J22" t="str">
        <f>IFERROR(INDEX(Employees!$C$2:$C$100,MATCH($B22,Employees!$A$2:$A$100,0)),"")</f>
        <v/>
      </c>
      <c r="K22">
        <f>IFERROR(INDEX(Employees!$D$2:$D$100,MATCH($B22,Employees!$A$2:$A$100,0)),0)</f>
        <v>0</v>
      </c>
      <c r="L22">
        <f>IFERROR(INDEX(Employees!$E$2:$E$100,MATCH($B22,Employees!$A$2:$A$100,0)),1)</f>
        <v>1</v>
      </c>
      <c r="M22">
        <f>IFERROR(INDEX(Employees!$F$2:$F$100,MATCH($B22,Employees!$A$2:$A$100,0)),1)</f>
        <v>1</v>
      </c>
    </row>
    <row r="23" spans="1:13">
      <c r="A23" s="5"/>
      <c r="B23" s="5"/>
      <c r="C23" s="13" t="str">
        <f>IF(OR(A23="",B23=""),"",SUMIFS(Timesheet!$I$2:$I$500,Timesheet!$B$2:$B$500,$A23,Timesheet!$C$2:$C$500,$B23))</f>
        <v/>
      </c>
      <c r="D23" s="14" t="str">
        <f>IF(B23="","",IFERROR(INDEX(Employees!$B$2:$B$100,MATCH($B23,Employees!$A$2:$A$100,0)),0))</f>
        <v/>
      </c>
      <c r="E23" s="21" t="str">
        <f t="shared" si="0"/>
        <v/>
      </c>
      <c r="F23" s="14" t="str">
        <f>IF(OR(A23="",B23=""),"",SUMIFS(Timesheet!$K$2:$K$500,Timesheet!$B$2:$B$500,$A23,Timesheet!$C$2:$C$500,$B23))</f>
        <v/>
      </c>
      <c r="G23" s="14" t="str">
        <f>IF(OR(A23="",B23=""),"",SUMIFS(Purchases!$I$2:$I$500,Purchases!$B$2:$B$500,$A23,Purchases!$C$2:$C$500,$B23))</f>
        <v/>
      </c>
      <c r="H23" s="21" t="str">
        <f t="shared" si="1"/>
        <v/>
      </c>
      <c r="I23" s="21" t="str">
        <f t="shared" si="2"/>
        <v/>
      </c>
      <c r="J23" t="str">
        <f>IFERROR(INDEX(Employees!$C$2:$C$100,MATCH($B23,Employees!$A$2:$A$100,0)),"")</f>
        <v/>
      </c>
      <c r="K23">
        <f>IFERROR(INDEX(Employees!$D$2:$D$100,MATCH($B23,Employees!$A$2:$A$100,0)),0)</f>
        <v>0</v>
      </c>
      <c r="L23">
        <f>IFERROR(INDEX(Employees!$E$2:$E$100,MATCH($B23,Employees!$A$2:$A$100,0)),1)</f>
        <v>1</v>
      </c>
      <c r="M23">
        <f>IFERROR(INDEX(Employees!$F$2:$F$100,MATCH($B23,Employees!$A$2:$A$100,0)),1)</f>
        <v>1</v>
      </c>
    </row>
    <row r="24" spans="1:13">
      <c r="A24" s="5"/>
      <c r="B24" s="5"/>
      <c r="C24" s="13" t="str">
        <f>IF(OR(A24="",B24=""),"",SUMIFS(Timesheet!$I$2:$I$500,Timesheet!$B$2:$B$500,$A24,Timesheet!$C$2:$C$500,$B24))</f>
        <v/>
      </c>
      <c r="D24" s="14" t="str">
        <f>IF(B24="","",IFERROR(INDEX(Employees!$B$2:$B$100,MATCH($B24,Employees!$A$2:$A$100,0)),0))</f>
        <v/>
      </c>
      <c r="E24" s="21" t="str">
        <f t="shared" si="0"/>
        <v/>
      </c>
      <c r="F24" s="14" t="str">
        <f>IF(OR(A24="",B24=""),"",SUMIFS(Timesheet!$K$2:$K$500,Timesheet!$B$2:$B$500,$A24,Timesheet!$C$2:$C$500,$B24))</f>
        <v/>
      </c>
      <c r="G24" s="14" t="str">
        <f>IF(OR(A24="",B24=""),"",SUMIFS(Purchases!$I$2:$I$500,Purchases!$B$2:$B$500,$A24,Purchases!$C$2:$C$500,$B24))</f>
        <v/>
      </c>
      <c r="H24" s="21" t="str">
        <f t="shared" si="1"/>
        <v/>
      </c>
      <c r="I24" s="21" t="str">
        <f t="shared" si="2"/>
        <v/>
      </c>
      <c r="J24" t="str">
        <f>IFERROR(INDEX(Employees!$C$2:$C$100,MATCH($B24,Employees!$A$2:$A$100,0)),"")</f>
        <v/>
      </c>
      <c r="K24">
        <f>IFERROR(INDEX(Employees!$D$2:$D$100,MATCH($B24,Employees!$A$2:$A$100,0)),0)</f>
        <v>0</v>
      </c>
      <c r="L24">
        <f>IFERROR(INDEX(Employees!$E$2:$E$100,MATCH($B24,Employees!$A$2:$A$100,0)),1)</f>
        <v>1</v>
      </c>
      <c r="M24">
        <f>IFERROR(INDEX(Employees!$F$2:$F$100,MATCH($B24,Employees!$A$2:$A$100,0)),1)</f>
        <v>1</v>
      </c>
    </row>
    <row r="25" spans="1:13">
      <c r="A25" s="5"/>
      <c r="B25" s="5"/>
      <c r="C25" s="13" t="str">
        <f>IF(OR(A25="",B25=""),"",SUMIFS(Timesheet!$I$2:$I$500,Timesheet!$B$2:$B$500,$A25,Timesheet!$C$2:$C$500,$B25))</f>
        <v/>
      </c>
      <c r="D25" s="14" t="str">
        <f>IF(B25="","",IFERROR(INDEX(Employees!$B$2:$B$100,MATCH($B25,Employees!$A$2:$A$100,0)),0))</f>
        <v/>
      </c>
      <c r="E25" s="21" t="str">
        <f t="shared" si="0"/>
        <v/>
      </c>
      <c r="F25" s="14" t="str">
        <f>IF(OR(A25="",B25=""),"",SUMIFS(Timesheet!$K$2:$K$500,Timesheet!$B$2:$B$500,$A25,Timesheet!$C$2:$C$500,$B25))</f>
        <v/>
      </c>
      <c r="G25" s="14" t="str">
        <f>IF(OR(A25="",B25=""),"",SUMIFS(Purchases!$I$2:$I$500,Purchases!$B$2:$B$500,$A25,Purchases!$C$2:$C$500,$B25))</f>
        <v/>
      </c>
      <c r="H25" s="21" t="str">
        <f t="shared" si="1"/>
        <v/>
      </c>
      <c r="I25" s="21" t="str">
        <f t="shared" si="2"/>
        <v/>
      </c>
      <c r="J25" t="str">
        <f>IFERROR(INDEX(Employees!$C$2:$C$100,MATCH($B25,Employees!$A$2:$A$100,0)),"")</f>
        <v/>
      </c>
      <c r="K25">
        <f>IFERROR(INDEX(Employees!$D$2:$D$100,MATCH($B25,Employees!$A$2:$A$100,0)),0)</f>
        <v>0</v>
      </c>
      <c r="L25">
        <f>IFERROR(INDEX(Employees!$E$2:$E$100,MATCH($B25,Employees!$A$2:$A$100,0)),1)</f>
        <v>1</v>
      </c>
      <c r="M25">
        <f>IFERROR(INDEX(Employees!$F$2:$F$100,MATCH($B25,Employees!$A$2:$A$100,0)),1)</f>
        <v>1</v>
      </c>
    </row>
    <row r="26" spans="1:13">
      <c r="A26" s="5"/>
      <c r="B26" s="5"/>
      <c r="C26" s="13" t="str">
        <f>IF(OR(A26="",B26=""),"",SUMIFS(Timesheet!$I$2:$I$500,Timesheet!$B$2:$B$500,$A26,Timesheet!$C$2:$C$500,$B26))</f>
        <v/>
      </c>
      <c r="D26" s="14" t="str">
        <f>IF(B26="","",IFERROR(INDEX(Employees!$B$2:$B$100,MATCH($B26,Employees!$A$2:$A$100,0)),0))</f>
        <v/>
      </c>
      <c r="E26" s="21" t="str">
        <f t="shared" si="0"/>
        <v/>
      </c>
      <c r="F26" s="14" t="str">
        <f>IF(OR(A26="",B26=""),"",SUMIFS(Timesheet!$K$2:$K$500,Timesheet!$B$2:$B$500,$A26,Timesheet!$C$2:$C$500,$B26))</f>
        <v/>
      </c>
      <c r="G26" s="14" t="str">
        <f>IF(OR(A26="",B26=""),"",SUMIFS(Purchases!$I$2:$I$500,Purchases!$B$2:$B$500,$A26,Purchases!$C$2:$C$500,$B26))</f>
        <v/>
      </c>
      <c r="H26" s="21" t="str">
        <f t="shared" si="1"/>
        <v/>
      </c>
      <c r="I26" s="21" t="str">
        <f t="shared" si="2"/>
        <v/>
      </c>
      <c r="J26" t="str">
        <f>IFERROR(INDEX(Employees!$C$2:$C$100,MATCH($B26,Employees!$A$2:$A$100,0)),"")</f>
        <v/>
      </c>
      <c r="K26">
        <f>IFERROR(INDEX(Employees!$D$2:$D$100,MATCH($B26,Employees!$A$2:$A$100,0)),0)</f>
        <v>0</v>
      </c>
      <c r="L26">
        <f>IFERROR(INDEX(Employees!$E$2:$E$100,MATCH($B26,Employees!$A$2:$A$100,0)),1)</f>
        <v>1</v>
      </c>
      <c r="M26">
        <f>IFERROR(INDEX(Employees!$F$2:$F$100,MATCH($B26,Employees!$A$2:$A$100,0)),1)</f>
        <v>1</v>
      </c>
    </row>
    <row r="27" spans="1:13">
      <c r="A27" s="5"/>
      <c r="B27" s="5"/>
      <c r="C27" s="13" t="str">
        <f>IF(OR(A27="",B27=""),"",SUMIFS(Timesheet!$I$2:$I$500,Timesheet!$B$2:$B$500,$A27,Timesheet!$C$2:$C$500,$B27))</f>
        <v/>
      </c>
      <c r="D27" s="14" t="str">
        <f>IF(B27="","",IFERROR(INDEX(Employees!$B$2:$B$100,MATCH($B27,Employees!$A$2:$A$100,0)),0))</f>
        <v/>
      </c>
      <c r="E27" s="21" t="str">
        <f t="shared" si="0"/>
        <v/>
      </c>
      <c r="F27" s="14" t="str">
        <f>IF(OR(A27="",B27=""),"",SUMIFS(Timesheet!$K$2:$K$500,Timesheet!$B$2:$B$500,$A27,Timesheet!$C$2:$C$500,$B27))</f>
        <v/>
      </c>
      <c r="G27" s="14" t="str">
        <f>IF(OR(A27="",B27=""),"",SUMIFS(Purchases!$I$2:$I$500,Purchases!$B$2:$B$500,$A27,Purchases!$C$2:$C$500,$B27))</f>
        <v/>
      </c>
      <c r="H27" s="21" t="str">
        <f t="shared" si="1"/>
        <v/>
      </c>
      <c r="I27" s="21" t="str">
        <f t="shared" si="2"/>
        <v/>
      </c>
      <c r="J27" t="str">
        <f>IFERROR(INDEX(Employees!$C$2:$C$100,MATCH($B27,Employees!$A$2:$A$100,0)),"")</f>
        <v/>
      </c>
      <c r="K27">
        <f>IFERROR(INDEX(Employees!$D$2:$D$100,MATCH($B27,Employees!$A$2:$A$100,0)),0)</f>
        <v>0</v>
      </c>
      <c r="L27">
        <f>IFERROR(INDEX(Employees!$E$2:$E$100,MATCH($B27,Employees!$A$2:$A$100,0)),1)</f>
        <v>1</v>
      </c>
      <c r="M27">
        <f>IFERROR(INDEX(Employees!$F$2:$F$100,MATCH($B27,Employees!$A$2:$A$100,0)),1)</f>
        <v>1</v>
      </c>
    </row>
    <row r="28" spans="1:13">
      <c r="A28" s="5"/>
      <c r="B28" s="5"/>
      <c r="C28" s="13" t="str">
        <f>IF(OR(A28="",B28=""),"",SUMIFS(Timesheet!$I$2:$I$500,Timesheet!$B$2:$B$500,$A28,Timesheet!$C$2:$C$500,$B28))</f>
        <v/>
      </c>
      <c r="D28" s="14" t="str">
        <f>IF(B28="","",IFERROR(INDEX(Employees!$B$2:$B$100,MATCH($B28,Employees!$A$2:$A$100,0)),0))</f>
        <v/>
      </c>
      <c r="E28" s="21" t="str">
        <f t="shared" si="0"/>
        <v/>
      </c>
      <c r="F28" s="14" t="str">
        <f>IF(OR(A28="",B28=""),"",SUMIFS(Timesheet!$K$2:$K$500,Timesheet!$B$2:$B$500,$A28,Timesheet!$C$2:$C$500,$B28))</f>
        <v/>
      </c>
      <c r="G28" s="14" t="str">
        <f>IF(OR(A28="",B28=""),"",SUMIFS(Purchases!$I$2:$I$500,Purchases!$B$2:$B$500,$A28,Purchases!$C$2:$C$500,$B28))</f>
        <v/>
      </c>
      <c r="H28" s="21" t="str">
        <f t="shared" si="1"/>
        <v/>
      </c>
      <c r="I28" s="21" t="str">
        <f t="shared" si="2"/>
        <v/>
      </c>
      <c r="J28" t="str">
        <f>IFERROR(INDEX(Employees!$C$2:$C$100,MATCH($B28,Employees!$A$2:$A$100,0)),"")</f>
        <v/>
      </c>
      <c r="K28">
        <f>IFERROR(INDEX(Employees!$D$2:$D$100,MATCH($B28,Employees!$A$2:$A$100,0)),0)</f>
        <v>0</v>
      </c>
      <c r="L28">
        <f>IFERROR(INDEX(Employees!$E$2:$E$100,MATCH($B28,Employees!$A$2:$A$100,0)),1)</f>
        <v>1</v>
      </c>
      <c r="M28">
        <f>IFERROR(INDEX(Employees!$F$2:$F$100,MATCH($B28,Employees!$A$2:$A$100,0)),1)</f>
        <v>1</v>
      </c>
    </row>
    <row r="29" spans="1:13">
      <c r="A29" s="5"/>
      <c r="B29" s="5"/>
      <c r="C29" s="13" t="str">
        <f>IF(OR(A29="",B29=""),"",SUMIFS(Timesheet!$I$2:$I$500,Timesheet!$B$2:$B$500,$A29,Timesheet!$C$2:$C$500,$B29))</f>
        <v/>
      </c>
      <c r="D29" s="14" t="str">
        <f>IF(B29="","",IFERROR(INDEX(Employees!$B$2:$B$100,MATCH($B29,Employees!$A$2:$A$100,0)),0))</f>
        <v/>
      </c>
      <c r="E29" s="21" t="str">
        <f t="shared" si="0"/>
        <v/>
      </c>
      <c r="F29" s="14" t="str">
        <f>IF(OR(A29="",B29=""),"",SUMIFS(Timesheet!$K$2:$K$500,Timesheet!$B$2:$B$500,$A29,Timesheet!$C$2:$C$500,$B29))</f>
        <v/>
      </c>
      <c r="G29" s="14" t="str">
        <f>IF(OR(A29="",B29=""),"",SUMIFS(Purchases!$I$2:$I$500,Purchases!$B$2:$B$500,$A29,Purchases!$C$2:$C$500,$B29))</f>
        <v/>
      </c>
      <c r="H29" s="21" t="str">
        <f t="shared" si="1"/>
        <v/>
      </c>
      <c r="I29" s="21" t="str">
        <f t="shared" si="2"/>
        <v/>
      </c>
      <c r="J29" t="str">
        <f>IFERROR(INDEX(Employees!$C$2:$C$100,MATCH($B29,Employees!$A$2:$A$100,0)),"")</f>
        <v/>
      </c>
      <c r="K29">
        <f>IFERROR(INDEX(Employees!$D$2:$D$100,MATCH($B29,Employees!$A$2:$A$100,0)),0)</f>
        <v>0</v>
      </c>
      <c r="L29">
        <f>IFERROR(INDEX(Employees!$E$2:$E$100,MATCH($B29,Employees!$A$2:$A$100,0)),1)</f>
        <v>1</v>
      </c>
      <c r="M29">
        <f>IFERROR(INDEX(Employees!$F$2:$F$100,MATCH($B29,Employees!$A$2:$A$100,0)),1)</f>
        <v>1</v>
      </c>
    </row>
    <row r="30" spans="1:13">
      <c r="A30" s="5"/>
      <c r="B30" s="5"/>
      <c r="C30" s="13" t="str">
        <f>IF(OR(A30="",B30=""),"",SUMIFS(Timesheet!$I$2:$I$500,Timesheet!$B$2:$B$500,$A30,Timesheet!$C$2:$C$500,$B30))</f>
        <v/>
      </c>
      <c r="D30" s="14" t="str">
        <f>IF(B30="","",IFERROR(INDEX(Employees!$B$2:$B$100,MATCH($B30,Employees!$A$2:$A$100,0)),0))</f>
        <v/>
      </c>
      <c r="E30" s="21" t="str">
        <f t="shared" si="0"/>
        <v/>
      </c>
      <c r="F30" s="14" t="str">
        <f>IF(OR(A30="",B30=""),"",SUMIFS(Timesheet!$K$2:$K$500,Timesheet!$B$2:$B$500,$A30,Timesheet!$C$2:$C$500,$B30))</f>
        <v/>
      </c>
      <c r="G30" s="14" t="str">
        <f>IF(OR(A30="",B30=""),"",SUMIFS(Purchases!$I$2:$I$500,Purchases!$B$2:$B$500,$A30,Purchases!$C$2:$C$500,$B30))</f>
        <v/>
      </c>
      <c r="H30" s="21" t="str">
        <f t="shared" si="1"/>
        <v/>
      </c>
      <c r="I30" s="21" t="str">
        <f t="shared" si="2"/>
        <v/>
      </c>
      <c r="J30" t="str">
        <f>IFERROR(INDEX(Employees!$C$2:$C$100,MATCH($B30,Employees!$A$2:$A$100,0)),"")</f>
        <v/>
      </c>
      <c r="K30">
        <f>IFERROR(INDEX(Employees!$D$2:$D$100,MATCH($B30,Employees!$A$2:$A$100,0)),0)</f>
        <v>0</v>
      </c>
      <c r="L30">
        <f>IFERROR(INDEX(Employees!$E$2:$E$100,MATCH($B30,Employees!$A$2:$A$100,0)),1)</f>
        <v>1</v>
      </c>
      <c r="M30">
        <f>IFERROR(INDEX(Employees!$F$2:$F$100,MATCH($B30,Employees!$A$2:$A$100,0)),1)</f>
        <v>1</v>
      </c>
    </row>
    <row r="31" spans="1:13">
      <c r="A31" s="5"/>
      <c r="B31" s="5"/>
      <c r="C31" s="13" t="str">
        <f>IF(OR(A31="",B31=""),"",SUMIFS(Timesheet!$I$2:$I$500,Timesheet!$B$2:$B$500,$A31,Timesheet!$C$2:$C$500,$B31))</f>
        <v/>
      </c>
      <c r="D31" s="14" t="str">
        <f>IF(B31="","",IFERROR(INDEX(Employees!$B$2:$B$100,MATCH($B31,Employees!$A$2:$A$100,0)),0))</f>
        <v/>
      </c>
      <c r="E31" s="21" t="str">
        <f t="shared" si="0"/>
        <v/>
      </c>
      <c r="F31" s="14" t="str">
        <f>IF(OR(A31="",B31=""),"",SUMIFS(Timesheet!$K$2:$K$500,Timesheet!$B$2:$B$500,$A31,Timesheet!$C$2:$C$500,$B31))</f>
        <v/>
      </c>
      <c r="G31" s="14" t="str">
        <f>IF(OR(A31="",B31=""),"",SUMIFS(Purchases!$I$2:$I$500,Purchases!$B$2:$B$500,$A31,Purchases!$C$2:$C$500,$B31))</f>
        <v/>
      </c>
      <c r="H31" s="21" t="str">
        <f t="shared" si="1"/>
        <v/>
      </c>
      <c r="I31" s="21" t="str">
        <f t="shared" si="2"/>
        <v/>
      </c>
      <c r="J31" t="str">
        <f>IFERROR(INDEX(Employees!$C$2:$C$100,MATCH($B31,Employees!$A$2:$A$100,0)),"")</f>
        <v/>
      </c>
      <c r="K31">
        <f>IFERROR(INDEX(Employees!$D$2:$D$100,MATCH($B31,Employees!$A$2:$A$100,0)),0)</f>
        <v>0</v>
      </c>
      <c r="L31">
        <f>IFERROR(INDEX(Employees!$E$2:$E$100,MATCH($B31,Employees!$A$2:$A$100,0)),1)</f>
        <v>1</v>
      </c>
      <c r="M31">
        <f>IFERROR(INDEX(Employees!$F$2:$F$100,MATCH($B31,Employees!$A$2:$A$100,0)),1)</f>
        <v>1</v>
      </c>
    </row>
    <row r="32" spans="1:13">
      <c r="A32" s="5"/>
      <c r="B32" s="5"/>
      <c r="C32" s="13" t="str">
        <f>IF(OR(A32="",B32=""),"",SUMIFS(Timesheet!$I$2:$I$500,Timesheet!$B$2:$B$500,$A32,Timesheet!$C$2:$C$500,$B32))</f>
        <v/>
      </c>
      <c r="D32" s="14" t="str">
        <f>IF(B32="","",IFERROR(INDEX(Employees!$B$2:$B$100,MATCH($B32,Employees!$A$2:$A$100,0)),0))</f>
        <v/>
      </c>
      <c r="E32" s="21" t="str">
        <f t="shared" si="0"/>
        <v/>
      </c>
      <c r="F32" s="14" t="str">
        <f>IF(OR(A32="",B32=""),"",SUMIFS(Timesheet!$K$2:$K$500,Timesheet!$B$2:$B$500,$A32,Timesheet!$C$2:$C$500,$B32))</f>
        <v/>
      </c>
      <c r="G32" s="14" t="str">
        <f>IF(OR(A32="",B32=""),"",SUMIFS(Purchases!$I$2:$I$500,Purchases!$B$2:$B$500,$A32,Purchases!$C$2:$C$500,$B32))</f>
        <v/>
      </c>
      <c r="H32" s="21" t="str">
        <f t="shared" si="1"/>
        <v/>
      </c>
      <c r="I32" s="21" t="str">
        <f t="shared" si="2"/>
        <v/>
      </c>
      <c r="J32" t="str">
        <f>IFERROR(INDEX(Employees!$C$2:$C$100,MATCH($B32,Employees!$A$2:$A$100,0)),"")</f>
        <v/>
      </c>
      <c r="K32">
        <f>IFERROR(INDEX(Employees!$D$2:$D$100,MATCH($B32,Employees!$A$2:$A$100,0)),0)</f>
        <v>0</v>
      </c>
      <c r="L32">
        <f>IFERROR(INDEX(Employees!$E$2:$E$100,MATCH($B32,Employees!$A$2:$A$100,0)),1)</f>
        <v>1</v>
      </c>
      <c r="M32">
        <f>IFERROR(INDEX(Employees!$F$2:$F$100,MATCH($B32,Employees!$A$2:$A$100,0)),1)</f>
        <v>1</v>
      </c>
    </row>
    <row r="33" spans="1:13">
      <c r="A33" s="5"/>
      <c r="B33" s="5"/>
      <c r="C33" s="13" t="str">
        <f>IF(OR(A33="",B33=""),"",SUMIFS(Timesheet!$I$2:$I$500,Timesheet!$B$2:$B$500,$A33,Timesheet!$C$2:$C$500,$B33))</f>
        <v/>
      </c>
      <c r="D33" s="14" t="str">
        <f>IF(B33="","",IFERROR(INDEX(Employees!$B$2:$B$100,MATCH($B33,Employees!$A$2:$A$100,0)),0))</f>
        <v/>
      </c>
      <c r="E33" s="21" t="str">
        <f t="shared" si="0"/>
        <v/>
      </c>
      <c r="F33" s="14" t="str">
        <f>IF(OR(A33="",B33=""),"",SUMIFS(Timesheet!$K$2:$K$500,Timesheet!$B$2:$B$500,$A33,Timesheet!$C$2:$C$500,$B33))</f>
        <v/>
      </c>
      <c r="G33" s="14" t="str">
        <f>IF(OR(A33="",B33=""),"",SUMIFS(Purchases!$I$2:$I$500,Purchases!$B$2:$B$500,$A33,Purchases!$C$2:$C$500,$B33))</f>
        <v/>
      </c>
      <c r="H33" s="21" t="str">
        <f t="shared" si="1"/>
        <v/>
      </c>
      <c r="I33" s="21" t="str">
        <f t="shared" si="2"/>
        <v/>
      </c>
      <c r="J33" t="str">
        <f>IFERROR(INDEX(Employees!$C$2:$C$100,MATCH($B33,Employees!$A$2:$A$100,0)),"")</f>
        <v/>
      </c>
      <c r="K33">
        <f>IFERROR(INDEX(Employees!$D$2:$D$100,MATCH($B33,Employees!$A$2:$A$100,0)),0)</f>
        <v>0</v>
      </c>
      <c r="L33">
        <f>IFERROR(INDEX(Employees!$E$2:$E$100,MATCH($B33,Employees!$A$2:$A$100,0)),1)</f>
        <v>1</v>
      </c>
      <c r="M33">
        <f>IFERROR(INDEX(Employees!$F$2:$F$100,MATCH($B33,Employees!$A$2:$A$100,0)),1)</f>
        <v>1</v>
      </c>
    </row>
    <row r="34" spans="1:13">
      <c r="A34" s="5"/>
      <c r="B34" s="5"/>
      <c r="C34" s="13" t="str">
        <f>IF(OR(A34="",B34=""),"",SUMIFS(Timesheet!$I$2:$I$500,Timesheet!$B$2:$B$500,$A34,Timesheet!$C$2:$C$500,$B34))</f>
        <v/>
      </c>
      <c r="D34" s="14" t="str">
        <f>IF(B34="","",IFERROR(INDEX(Employees!$B$2:$B$100,MATCH($B34,Employees!$A$2:$A$100,0)),0))</f>
        <v/>
      </c>
      <c r="E34" s="21" t="str">
        <f t="shared" ref="E34:E65" si="3">IF(C34="","",ROUND(C34*D34,0))</f>
        <v/>
      </c>
      <c r="F34" s="14" t="str">
        <f>IF(OR(A34="",B34=""),"",SUMIFS(Timesheet!$K$2:$K$500,Timesheet!$B$2:$B$500,$A34,Timesheet!$C$2:$C$500,$B34))</f>
        <v/>
      </c>
      <c r="G34" s="14" t="str">
        <f>IF(OR(A34="",B34=""),"",SUMIFS(Purchases!$I$2:$I$500,Purchases!$B$2:$B$500,$A34,Purchases!$C$2:$C$500,$B34))</f>
        <v/>
      </c>
      <c r="H34" s="21" t="str">
        <f t="shared" ref="H34:H65" si="4">IF(G34="","",IF(J34="88折，滿2500再9折",ROUND(G34*L34*IF(G34&gt;=K34,M34,1),0),IF(J34="統一9折",ROUND(G34*M34,0),ROUND(G34,0))))</f>
        <v/>
      </c>
      <c r="I34" s="21" t="str">
        <f t="shared" ref="I34:I65" si="5">IF(E34="","",E34+F34-H34)</f>
        <v/>
      </c>
      <c r="J34" t="str">
        <f>IFERROR(INDEX(Employees!$C$2:$C$100,MATCH($B34,Employees!$A$2:$A$100,0)),"")</f>
        <v/>
      </c>
      <c r="K34">
        <f>IFERROR(INDEX(Employees!$D$2:$D$100,MATCH($B34,Employees!$A$2:$A$100,0)),0)</f>
        <v>0</v>
      </c>
      <c r="L34">
        <f>IFERROR(INDEX(Employees!$E$2:$E$100,MATCH($B34,Employees!$A$2:$A$100,0)),1)</f>
        <v>1</v>
      </c>
      <c r="M34">
        <f>IFERROR(INDEX(Employees!$F$2:$F$100,MATCH($B34,Employees!$A$2:$A$100,0)),1)</f>
        <v>1</v>
      </c>
    </row>
    <row r="35" spans="1:13">
      <c r="A35" s="5"/>
      <c r="B35" s="5"/>
      <c r="C35" s="13" t="str">
        <f>IF(OR(A35="",B35=""),"",SUMIFS(Timesheet!$I$2:$I$500,Timesheet!$B$2:$B$500,$A35,Timesheet!$C$2:$C$500,$B35))</f>
        <v/>
      </c>
      <c r="D35" s="14" t="str">
        <f>IF(B35="","",IFERROR(INDEX(Employees!$B$2:$B$100,MATCH($B35,Employees!$A$2:$A$100,0)),0))</f>
        <v/>
      </c>
      <c r="E35" s="21" t="str">
        <f t="shared" si="3"/>
        <v/>
      </c>
      <c r="F35" s="14" t="str">
        <f>IF(OR(A35="",B35=""),"",SUMIFS(Timesheet!$K$2:$K$500,Timesheet!$B$2:$B$500,$A35,Timesheet!$C$2:$C$500,$B35))</f>
        <v/>
      </c>
      <c r="G35" s="14" t="str">
        <f>IF(OR(A35="",B35=""),"",SUMIFS(Purchases!$I$2:$I$500,Purchases!$B$2:$B$500,$A35,Purchases!$C$2:$C$500,$B35))</f>
        <v/>
      </c>
      <c r="H35" s="21" t="str">
        <f t="shared" si="4"/>
        <v/>
      </c>
      <c r="I35" s="21" t="str">
        <f t="shared" si="5"/>
        <v/>
      </c>
      <c r="J35" t="str">
        <f>IFERROR(INDEX(Employees!$C$2:$C$100,MATCH($B35,Employees!$A$2:$A$100,0)),"")</f>
        <v/>
      </c>
      <c r="K35">
        <f>IFERROR(INDEX(Employees!$D$2:$D$100,MATCH($B35,Employees!$A$2:$A$100,0)),0)</f>
        <v>0</v>
      </c>
      <c r="L35">
        <f>IFERROR(INDEX(Employees!$E$2:$E$100,MATCH($B35,Employees!$A$2:$A$100,0)),1)</f>
        <v>1</v>
      </c>
      <c r="M35">
        <f>IFERROR(INDEX(Employees!$F$2:$F$100,MATCH($B35,Employees!$A$2:$A$100,0)),1)</f>
        <v>1</v>
      </c>
    </row>
    <row r="36" spans="1:13">
      <c r="A36" s="5"/>
      <c r="B36" s="5"/>
      <c r="C36" s="13" t="str">
        <f>IF(OR(A36="",B36=""),"",SUMIFS(Timesheet!$I$2:$I$500,Timesheet!$B$2:$B$500,$A36,Timesheet!$C$2:$C$500,$B36))</f>
        <v/>
      </c>
      <c r="D36" s="14" t="str">
        <f>IF(B36="","",IFERROR(INDEX(Employees!$B$2:$B$100,MATCH($B36,Employees!$A$2:$A$100,0)),0))</f>
        <v/>
      </c>
      <c r="E36" s="21" t="str">
        <f t="shared" si="3"/>
        <v/>
      </c>
      <c r="F36" s="14" t="str">
        <f>IF(OR(A36="",B36=""),"",SUMIFS(Timesheet!$K$2:$K$500,Timesheet!$B$2:$B$500,$A36,Timesheet!$C$2:$C$500,$B36))</f>
        <v/>
      </c>
      <c r="G36" s="14" t="str">
        <f>IF(OR(A36="",B36=""),"",SUMIFS(Purchases!$I$2:$I$500,Purchases!$B$2:$B$500,$A36,Purchases!$C$2:$C$500,$B36))</f>
        <v/>
      </c>
      <c r="H36" s="21" t="str">
        <f t="shared" si="4"/>
        <v/>
      </c>
      <c r="I36" s="21" t="str">
        <f t="shared" si="5"/>
        <v/>
      </c>
      <c r="J36" t="str">
        <f>IFERROR(INDEX(Employees!$C$2:$C$100,MATCH($B36,Employees!$A$2:$A$100,0)),"")</f>
        <v/>
      </c>
      <c r="K36">
        <f>IFERROR(INDEX(Employees!$D$2:$D$100,MATCH($B36,Employees!$A$2:$A$100,0)),0)</f>
        <v>0</v>
      </c>
      <c r="L36">
        <f>IFERROR(INDEX(Employees!$E$2:$E$100,MATCH($B36,Employees!$A$2:$A$100,0)),1)</f>
        <v>1</v>
      </c>
      <c r="M36">
        <f>IFERROR(INDEX(Employees!$F$2:$F$100,MATCH($B36,Employees!$A$2:$A$100,0)),1)</f>
        <v>1</v>
      </c>
    </row>
    <row r="37" spans="1:13">
      <c r="A37" s="5"/>
      <c r="B37" s="5"/>
      <c r="C37" s="13" t="str">
        <f>IF(OR(A37="",B37=""),"",SUMIFS(Timesheet!$I$2:$I$500,Timesheet!$B$2:$B$500,$A37,Timesheet!$C$2:$C$500,$B37))</f>
        <v/>
      </c>
      <c r="D37" s="14" t="str">
        <f>IF(B37="","",IFERROR(INDEX(Employees!$B$2:$B$100,MATCH($B37,Employees!$A$2:$A$100,0)),0))</f>
        <v/>
      </c>
      <c r="E37" s="21" t="str">
        <f t="shared" si="3"/>
        <v/>
      </c>
      <c r="F37" s="14" t="str">
        <f>IF(OR(A37="",B37=""),"",SUMIFS(Timesheet!$K$2:$K$500,Timesheet!$B$2:$B$500,$A37,Timesheet!$C$2:$C$500,$B37))</f>
        <v/>
      </c>
      <c r="G37" s="14" t="str">
        <f>IF(OR(A37="",B37=""),"",SUMIFS(Purchases!$I$2:$I$500,Purchases!$B$2:$B$500,$A37,Purchases!$C$2:$C$500,$B37))</f>
        <v/>
      </c>
      <c r="H37" s="21" t="str">
        <f t="shared" si="4"/>
        <v/>
      </c>
      <c r="I37" s="21" t="str">
        <f t="shared" si="5"/>
        <v/>
      </c>
      <c r="J37" t="str">
        <f>IFERROR(INDEX(Employees!$C$2:$C$100,MATCH($B37,Employees!$A$2:$A$100,0)),"")</f>
        <v/>
      </c>
      <c r="K37">
        <f>IFERROR(INDEX(Employees!$D$2:$D$100,MATCH($B37,Employees!$A$2:$A$100,0)),0)</f>
        <v>0</v>
      </c>
      <c r="L37">
        <f>IFERROR(INDEX(Employees!$E$2:$E$100,MATCH($B37,Employees!$A$2:$A$100,0)),1)</f>
        <v>1</v>
      </c>
      <c r="M37">
        <f>IFERROR(INDEX(Employees!$F$2:$F$100,MATCH($B37,Employees!$A$2:$A$100,0)),1)</f>
        <v>1</v>
      </c>
    </row>
    <row r="38" spans="1:13">
      <c r="A38" s="5"/>
      <c r="B38" s="5"/>
      <c r="C38" s="13" t="str">
        <f>IF(OR(A38="",B38=""),"",SUMIFS(Timesheet!$I$2:$I$500,Timesheet!$B$2:$B$500,$A38,Timesheet!$C$2:$C$500,$B38))</f>
        <v/>
      </c>
      <c r="D38" s="14" t="str">
        <f>IF(B38="","",IFERROR(INDEX(Employees!$B$2:$B$100,MATCH($B38,Employees!$A$2:$A$100,0)),0))</f>
        <v/>
      </c>
      <c r="E38" s="21" t="str">
        <f t="shared" si="3"/>
        <v/>
      </c>
      <c r="F38" s="14" t="str">
        <f>IF(OR(A38="",B38=""),"",SUMIFS(Timesheet!$K$2:$K$500,Timesheet!$B$2:$B$500,$A38,Timesheet!$C$2:$C$500,$B38))</f>
        <v/>
      </c>
      <c r="G38" s="14" t="str">
        <f>IF(OR(A38="",B38=""),"",SUMIFS(Purchases!$I$2:$I$500,Purchases!$B$2:$B$500,$A38,Purchases!$C$2:$C$500,$B38))</f>
        <v/>
      </c>
      <c r="H38" s="21" t="str">
        <f t="shared" si="4"/>
        <v/>
      </c>
      <c r="I38" s="21" t="str">
        <f t="shared" si="5"/>
        <v/>
      </c>
      <c r="J38" t="str">
        <f>IFERROR(INDEX(Employees!$C$2:$C$100,MATCH($B38,Employees!$A$2:$A$100,0)),"")</f>
        <v/>
      </c>
      <c r="K38">
        <f>IFERROR(INDEX(Employees!$D$2:$D$100,MATCH($B38,Employees!$A$2:$A$100,0)),0)</f>
        <v>0</v>
      </c>
      <c r="L38">
        <f>IFERROR(INDEX(Employees!$E$2:$E$100,MATCH($B38,Employees!$A$2:$A$100,0)),1)</f>
        <v>1</v>
      </c>
      <c r="M38">
        <f>IFERROR(INDEX(Employees!$F$2:$F$100,MATCH($B38,Employees!$A$2:$A$100,0)),1)</f>
        <v>1</v>
      </c>
    </row>
    <row r="39" spans="1:13">
      <c r="A39" s="5"/>
      <c r="B39" s="5"/>
      <c r="C39" s="13" t="str">
        <f>IF(OR(A39="",B39=""),"",SUMIFS(Timesheet!$I$2:$I$500,Timesheet!$B$2:$B$500,$A39,Timesheet!$C$2:$C$500,$B39))</f>
        <v/>
      </c>
      <c r="D39" s="14" t="str">
        <f>IF(B39="","",IFERROR(INDEX(Employees!$B$2:$B$100,MATCH($B39,Employees!$A$2:$A$100,0)),0))</f>
        <v/>
      </c>
      <c r="E39" s="21" t="str">
        <f t="shared" si="3"/>
        <v/>
      </c>
      <c r="F39" s="14" t="str">
        <f>IF(OR(A39="",B39=""),"",SUMIFS(Timesheet!$K$2:$K$500,Timesheet!$B$2:$B$500,$A39,Timesheet!$C$2:$C$500,$B39))</f>
        <v/>
      </c>
      <c r="G39" s="14" t="str">
        <f>IF(OR(A39="",B39=""),"",SUMIFS(Purchases!$I$2:$I$500,Purchases!$B$2:$B$500,$A39,Purchases!$C$2:$C$500,$B39))</f>
        <v/>
      </c>
      <c r="H39" s="21" t="str">
        <f t="shared" si="4"/>
        <v/>
      </c>
      <c r="I39" s="21" t="str">
        <f t="shared" si="5"/>
        <v/>
      </c>
      <c r="J39" t="str">
        <f>IFERROR(INDEX(Employees!$C$2:$C$100,MATCH($B39,Employees!$A$2:$A$100,0)),"")</f>
        <v/>
      </c>
      <c r="K39">
        <f>IFERROR(INDEX(Employees!$D$2:$D$100,MATCH($B39,Employees!$A$2:$A$100,0)),0)</f>
        <v>0</v>
      </c>
      <c r="L39">
        <f>IFERROR(INDEX(Employees!$E$2:$E$100,MATCH($B39,Employees!$A$2:$A$100,0)),1)</f>
        <v>1</v>
      </c>
      <c r="M39">
        <f>IFERROR(INDEX(Employees!$F$2:$F$100,MATCH($B39,Employees!$A$2:$A$100,0)),1)</f>
        <v>1</v>
      </c>
    </row>
    <row r="40" spans="1:13">
      <c r="A40" s="5"/>
      <c r="B40" s="5"/>
      <c r="C40" s="13" t="str">
        <f>IF(OR(A40="",B40=""),"",SUMIFS(Timesheet!$I$2:$I$500,Timesheet!$B$2:$B$500,$A40,Timesheet!$C$2:$C$500,$B40))</f>
        <v/>
      </c>
      <c r="D40" s="14" t="str">
        <f>IF(B40="","",IFERROR(INDEX(Employees!$B$2:$B$100,MATCH($B40,Employees!$A$2:$A$100,0)),0))</f>
        <v/>
      </c>
      <c r="E40" s="21" t="str">
        <f t="shared" si="3"/>
        <v/>
      </c>
      <c r="F40" s="14" t="str">
        <f>IF(OR(A40="",B40=""),"",SUMIFS(Timesheet!$K$2:$K$500,Timesheet!$B$2:$B$500,$A40,Timesheet!$C$2:$C$500,$B40))</f>
        <v/>
      </c>
      <c r="G40" s="14" t="str">
        <f>IF(OR(A40="",B40=""),"",SUMIFS(Purchases!$I$2:$I$500,Purchases!$B$2:$B$500,$A40,Purchases!$C$2:$C$500,$B40))</f>
        <v/>
      </c>
      <c r="H40" s="21" t="str">
        <f t="shared" si="4"/>
        <v/>
      </c>
      <c r="I40" s="21" t="str">
        <f t="shared" si="5"/>
        <v/>
      </c>
      <c r="J40" t="str">
        <f>IFERROR(INDEX(Employees!$C$2:$C$100,MATCH($B40,Employees!$A$2:$A$100,0)),"")</f>
        <v/>
      </c>
      <c r="K40">
        <f>IFERROR(INDEX(Employees!$D$2:$D$100,MATCH($B40,Employees!$A$2:$A$100,0)),0)</f>
        <v>0</v>
      </c>
      <c r="L40">
        <f>IFERROR(INDEX(Employees!$E$2:$E$100,MATCH($B40,Employees!$A$2:$A$100,0)),1)</f>
        <v>1</v>
      </c>
      <c r="M40">
        <f>IFERROR(INDEX(Employees!$F$2:$F$100,MATCH($B40,Employees!$A$2:$A$100,0)),1)</f>
        <v>1</v>
      </c>
    </row>
    <row r="41" spans="1:13">
      <c r="A41" s="5"/>
      <c r="B41" s="5"/>
      <c r="C41" s="13" t="str">
        <f>IF(OR(A41="",B41=""),"",SUMIFS(Timesheet!$I$2:$I$500,Timesheet!$B$2:$B$500,$A41,Timesheet!$C$2:$C$500,$B41))</f>
        <v/>
      </c>
      <c r="D41" s="14" t="str">
        <f>IF(B41="","",IFERROR(INDEX(Employees!$B$2:$B$100,MATCH($B41,Employees!$A$2:$A$100,0)),0))</f>
        <v/>
      </c>
      <c r="E41" s="21" t="str">
        <f t="shared" si="3"/>
        <v/>
      </c>
      <c r="F41" s="14" t="str">
        <f>IF(OR(A41="",B41=""),"",SUMIFS(Timesheet!$K$2:$K$500,Timesheet!$B$2:$B$500,$A41,Timesheet!$C$2:$C$500,$B41))</f>
        <v/>
      </c>
      <c r="G41" s="14" t="str">
        <f>IF(OR(A41="",B41=""),"",SUMIFS(Purchases!$I$2:$I$500,Purchases!$B$2:$B$500,$A41,Purchases!$C$2:$C$500,$B41))</f>
        <v/>
      </c>
      <c r="H41" s="21" t="str">
        <f t="shared" si="4"/>
        <v/>
      </c>
      <c r="I41" s="21" t="str">
        <f t="shared" si="5"/>
        <v/>
      </c>
      <c r="J41" t="str">
        <f>IFERROR(INDEX(Employees!$C$2:$C$100,MATCH($B41,Employees!$A$2:$A$100,0)),"")</f>
        <v/>
      </c>
      <c r="K41">
        <f>IFERROR(INDEX(Employees!$D$2:$D$100,MATCH($B41,Employees!$A$2:$A$100,0)),0)</f>
        <v>0</v>
      </c>
      <c r="L41">
        <f>IFERROR(INDEX(Employees!$E$2:$E$100,MATCH($B41,Employees!$A$2:$A$100,0)),1)</f>
        <v>1</v>
      </c>
      <c r="M41">
        <f>IFERROR(INDEX(Employees!$F$2:$F$100,MATCH($B41,Employees!$A$2:$A$100,0)),1)</f>
        <v>1</v>
      </c>
    </row>
    <row r="42" spans="1:13">
      <c r="A42" s="5"/>
      <c r="B42" s="5"/>
      <c r="C42" s="13" t="str">
        <f>IF(OR(A42="",B42=""),"",SUMIFS(Timesheet!$I$2:$I$500,Timesheet!$B$2:$B$500,$A42,Timesheet!$C$2:$C$500,$B42))</f>
        <v/>
      </c>
      <c r="D42" s="14" t="str">
        <f>IF(B42="","",IFERROR(INDEX(Employees!$B$2:$B$100,MATCH($B42,Employees!$A$2:$A$100,0)),0))</f>
        <v/>
      </c>
      <c r="E42" s="21" t="str">
        <f t="shared" si="3"/>
        <v/>
      </c>
      <c r="F42" s="14" t="str">
        <f>IF(OR(A42="",B42=""),"",SUMIFS(Timesheet!$K$2:$K$500,Timesheet!$B$2:$B$500,$A42,Timesheet!$C$2:$C$500,$B42))</f>
        <v/>
      </c>
      <c r="G42" s="14" t="str">
        <f>IF(OR(A42="",B42=""),"",SUMIFS(Purchases!$I$2:$I$500,Purchases!$B$2:$B$500,$A42,Purchases!$C$2:$C$500,$B42))</f>
        <v/>
      </c>
      <c r="H42" s="21" t="str">
        <f t="shared" si="4"/>
        <v/>
      </c>
      <c r="I42" s="21" t="str">
        <f t="shared" si="5"/>
        <v/>
      </c>
      <c r="J42" t="str">
        <f>IFERROR(INDEX(Employees!$C$2:$C$100,MATCH($B42,Employees!$A$2:$A$100,0)),"")</f>
        <v/>
      </c>
      <c r="K42">
        <f>IFERROR(INDEX(Employees!$D$2:$D$100,MATCH($B42,Employees!$A$2:$A$100,0)),0)</f>
        <v>0</v>
      </c>
      <c r="L42">
        <f>IFERROR(INDEX(Employees!$E$2:$E$100,MATCH($B42,Employees!$A$2:$A$100,0)),1)</f>
        <v>1</v>
      </c>
      <c r="M42">
        <f>IFERROR(INDEX(Employees!$F$2:$F$100,MATCH($B42,Employees!$A$2:$A$100,0)),1)</f>
        <v>1</v>
      </c>
    </row>
    <row r="43" spans="1:13">
      <c r="A43" s="5"/>
      <c r="B43" s="5"/>
      <c r="C43" s="13" t="str">
        <f>IF(OR(A43="",B43=""),"",SUMIFS(Timesheet!$I$2:$I$500,Timesheet!$B$2:$B$500,$A43,Timesheet!$C$2:$C$500,$B43))</f>
        <v/>
      </c>
      <c r="D43" s="14" t="str">
        <f>IF(B43="","",IFERROR(INDEX(Employees!$B$2:$B$100,MATCH($B43,Employees!$A$2:$A$100,0)),0))</f>
        <v/>
      </c>
      <c r="E43" s="21" t="str">
        <f t="shared" si="3"/>
        <v/>
      </c>
      <c r="F43" s="14" t="str">
        <f>IF(OR(A43="",B43=""),"",SUMIFS(Timesheet!$K$2:$K$500,Timesheet!$B$2:$B$500,$A43,Timesheet!$C$2:$C$500,$B43))</f>
        <v/>
      </c>
      <c r="G43" s="14" t="str">
        <f>IF(OR(A43="",B43=""),"",SUMIFS(Purchases!$I$2:$I$500,Purchases!$B$2:$B$500,$A43,Purchases!$C$2:$C$500,$B43))</f>
        <v/>
      </c>
      <c r="H43" s="21" t="str">
        <f t="shared" si="4"/>
        <v/>
      </c>
      <c r="I43" s="21" t="str">
        <f t="shared" si="5"/>
        <v/>
      </c>
      <c r="J43" t="str">
        <f>IFERROR(INDEX(Employees!$C$2:$C$100,MATCH($B43,Employees!$A$2:$A$100,0)),"")</f>
        <v/>
      </c>
      <c r="K43">
        <f>IFERROR(INDEX(Employees!$D$2:$D$100,MATCH($B43,Employees!$A$2:$A$100,0)),0)</f>
        <v>0</v>
      </c>
      <c r="L43">
        <f>IFERROR(INDEX(Employees!$E$2:$E$100,MATCH($B43,Employees!$A$2:$A$100,0)),1)</f>
        <v>1</v>
      </c>
      <c r="M43">
        <f>IFERROR(INDEX(Employees!$F$2:$F$100,MATCH($B43,Employees!$A$2:$A$100,0)),1)</f>
        <v>1</v>
      </c>
    </row>
    <row r="44" spans="1:13">
      <c r="A44" s="5"/>
      <c r="B44" s="5"/>
      <c r="C44" s="13" t="str">
        <f>IF(OR(A44="",B44=""),"",SUMIFS(Timesheet!$I$2:$I$500,Timesheet!$B$2:$B$500,$A44,Timesheet!$C$2:$C$500,$B44))</f>
        <v/>
      </c>
      <c r="D44" s="14" t="str">
        <f>IF(B44="","",IFERROR(INDEX(Employees!$B$2:$B$100,MATCH($B44,Employees!$A$2:$A$100,0)),0))</f>
        <v/>
      </c>
      <c r="E44" s="21" t="str">
        <f t="shared" si="3"/>
        <v/>
      </c>
      <c r="F44" s="14" t="str">
        <f>IF(OR(A44="",B44=""),"",SUMIFS(Timesheet!$K$2:$K$500,Timesheet!$B$2:$B$500,$A44,Timesheet!$C$2:$C$500,$B44))</f>
        <v/>
      </c>
      <c r="G44" s="14" t="str">
        <f>IF(OR(A44="",B44=""),"",SUMIFS(Purchases!$I$2:$I$500,Purchases!$B$2:$B$500,$A44,Purchases!$C$2:$C$500,$B44))</f>
        <v/>
      </c>
      <c r="H44" s="21" t="str">
        <f t="shared" si="4"/>
        <v/>
      </c>
      <c r="I44" s="21" t="str">
        <f t="shared" si="5"/>
        <v/>
      </c>
      <c r="J44" t="str">
        <f>IFERROR(INDEX(Employees!$C$2:$C$100,MATCH($B44,Employees!$A$2:$A$100,0)),"")</f>
        <v/>
      </c>
      <c r="K44">
        <f>IFERROR(INDEX(Employees!$D$2:$D$100,MATCH($B44,Employees!$A$2:$A$100,0)),0)</f>
        <v>0</v>
      </c>
      <c r="L44">
        <f>IFERROR(INDEX(Employees!$E$2:$E$100,MATCH($B44,Employees!$A$2:$A$100,0)),1)</f>
        <v>1</v>
      </c>
      <c r="M44">
        <f>IFERROR(INDEX(Employees!$F$2:$F$100,MATCH($B44,Employees!$A$2:$A$100,0)),1)</f>
        <v>1</v>
      </c>
    </row>
    <row r="45" spans="1:13">
      <c r="A45" s="5"/>
      <c r="B45" s="5"/>
      <c r="C45" s="13" t="str">
        <f>IF(OR(A45="",B45=""),"",SUMIFS(Timesheet!$I$2:$I$500,Timesheet!$B$2:$B$500,$A45,Timesheet!$C$2:$C$500,$B45))</f>
        <v/>
      </c>
      <c r="D45" s="14" t="str">
        <f>IF(B45="","",IFERROR(INDEX(Employees!$B$2:$B$100,MATCH($B45,Employees!$A$2:$A$100,0)),0))</f>
        <v/>
      </c>
      <c r="E45" s="21" t="str">
        <f t="shared" si="3"/>
        <v/>
      </c>
      <c r="F45" s="14" t="str">
        <f>IF(OR(A45="",B45=""),"",SUMIFS(Timesheet!$K$2:$K$500,Timesheet!$B$2:$B$500,$A45,Timesheet!$C$2:$C$500,$B45))</f>
        <v/>
      </c>
      <c r="G45" s="14" t="str">
        <f>IF(OR(A45="",B45=""),"",SUMIFS(Purchases!$I$2:$I$500,Purchases!$B$2:$B$500,$A45,Purchases!$C$2:$C$500,$B45))</f>
        <v/>
      </c>
      <c r="H45" s="21" t="str">
        <f t="shared" si="4"/>
        <v/>
      </c>
      <c r="I45" s="21" t="str">
        <f t="shared" si="5"/>
        <v/>
      </c>
      <c r="J45" t="str">
        <f>IFERROR(INDEX(Employees!$C$2:$C$100,MATCH($B45,Employees!$A$2:$A$100,0)),"")</f>
        <v/>
      </c>
      <c r="K45">
        <f>IFERROR(INDEX(Employees!$D$2:$D$100,MATCH($B45,Employees!$A$2:$A$100,0)),0)</f>
        <v>0</v>
      </c>
      <c r="L45">
        <f>IFERROR(INDEX(Employees!$E$2:$E$100,MATCH($B45,Employees!$A$2:$A$100,0)),1)</f>
        <v>1</v>
      </c>
      <c r="M45">
        <f>IFERROR(INDEX(Employees!$F$2:$F$100,MATCH($B45,Employees!$A$2:$A$100,0)),1)</f>
        <v>1</v>
      </c>
    </row>
    <row r="46" spans="1:13">
      <c r="A46" s="5"/>
      <c r="B46" s="5"/>
      <c r="C46" s="13" t="str">
        <f>IF(OR(A46="",B46=""),"",SUMIFS(Timesheet!$I$2:$I$500,Timesheet!$B$2:$B$500,$A46,Timesheet!$C$2:$C$500,$B46))</f>
        <v/>
      </c>
      <c r="D46" s="14" t="str">
        <f>IF(B46="","",IFERROR(INDEX(Employees!$B$2:$B$100,MATCH($B46,Employees!$A$2:$A$100,0)),0))</f>
        <v/>
      </c>
      <c r="E46" s="21" t="str">
        <f t="shared" si="3"/>
        <v/>
      </c>
      <c r="F46" s="14" t="str">
        <f>IF(OR(A46="",B46=""),"",SUMIFS(Timesheet!$K$2:$K$500,Timesheet!$B$2:$B$500,$A46,Timesheet!$C$2:$C$500,$B46))</f>
        <v/>
      </c>
      <c r="G46" s="14" t="str">
        <f>IF(OR(A46="",B46=""),"",SUMIFS(Purchases!$I$2:$I$500,Purchases!$B$2:$B$500,$A46,Purchases!$C$2:$C$500,$B46))</f>
        <v/>
      </c>
      <c r="H46" s="21" t="str">
        <f t="shared" si="4"/>
        <v/>
      </c>
      <c r="I46" s="21" t="str">
        <f t="shared" si="5"/>
        <v/>
      </c>
      <c r="J46" t="str">
        <f>IFERROR(INDEX(Employees!$C$2:$C$100,MATCH($B46,Employees!$A$2:$A$100,0)),"")</f>
        <v/>
      </c>
      <c r="K46">
        <f>IFERROR(INDEX(Employees!$D$2:$D$100,MATCH($B46,Employees!$A$2:$A$100,0)),0)</f>
        <v>0</v>
      </c>
      <c r="L46">
        <f>IFERROR(INDEX(Employees!$E$2:$E$100,MATCH($B46,Employees!$A$2:$A$100,0)),1)</f>
        <v>1</v>
      </c>
      <c r="M46">
        <f>IFERROR(INDEX(Employees!$F$2:$F$100,MATCH($B46,Employees!$A$2:$A$100,0)),1)</f>
        <v>1</v>
      </c>
    </row>
    <row r="47" spans="1:13">
      <c r="A47" s="5"/>
      <c r="B47" s="5"/>
      <c r="C47" s="13" t="str">
        <f>IF(OR(A47="",B47=""),"",SUMIFS(Timesheet!$I$2:$I$500,Timesheet!$B$2:$B$500,$A47,Timesheet!$C$2:$C$500,$B47))</f>
        <v/>
      </c>
      <c r="D47" s="14" t="str">
        <f>IF(B47="","",IFERROR(INDEX(Employees!$B$2:$B$100,MATCH($B47,Employees!$A$2:$A$100,0)),0))</f>
        <v/>
      </c>
      <c r="E47" s="21" t="str">
        <f t="shared" si="3"/>
        <v/>
      </c>
      <c r="F47" s="14" t="str">
        <f>IF(OR(A47="",B47=""),"",SUMIFS(Timesheet!$K$2:$K$500,Timesheet!$B$2:$B$500,$A47,Timesheet!$C$2:$C$500,$B47))</f>
        <v/>
      </c>
      <c r="G47" s="14" t="str">
        <f>IF(OR(A47="",B47=""),"",SUMIFS(Purchases!$I$2:$I$500,Purchases!$B$2:$B$500,$A47,Purchases!$C$2:$C$500,$B47))</f>
        <v/>
      </c>
      <c r="H47" s="21" t="str">
        <f t="shared" si="4"/>
        <v/>
      </c>
      <c r="I47" s="21" t="str">
        <f t="shared" si="5"/>
        <v/>
      </c>
      <c r="J47" t="str">
        <f>IFERROR(INDEX(Employees!$C$2:$C$100,MATCH($B47,Employees!$A$2:$A$100,0)),"")</f>
        <v/>
      </c>
      <c r="K47">
        <f>IFERROR(INDEX(Employees!$D$2:$D$100,MATCH($B47,Employees!$A$2:$A$100,0)),0)</f>
        <v>0</v>
      </c>
      <c r="L47">
        <f>IFERROR(INDEX(Employees!$E$2:$E$100,MATCH($B47,Employees!$A$2:$A$100,0)),1)</f>
        <v>1</v>
      </c>
      <c r="M47">
        <f>IFERROR(INDEX(Employees!$F$2:$F$100,MATCH($B47,Employees!$A$2:$A$100,0)),1)</f>
        <v>1</v>
      </c>
    </row>
    <row r="48" spans="1:13">
      <c r="A48" s="5"/>
      <c r="B48" s="5"/>
      <c r="C48" s="13" t="str">
        <f>IF(OR(A48="",B48=""),"",SUMIFS(Timesheet!$I$2:$I$500,Timesheet!$B$2:$B$500,$A48,Timesheet!$C$2:$C$500,$B48))</f>
        <v/>
      </c>
      <c r="D48" s="14" t="str">
        <f>IF(B48="","",IFERROR(INDEX(Employees!$B$2:$B$100,MATCH($B48,Employees!$A$2:$A$100,0)),0))</f>
        <v/>
      </c>
      <c r="E48" s="21" t="str">
        <f t="shared" si="3"/>
        <v/>
      </c>
      <c r="F48" s="14" t="str">
        <f>IF(OR(A48="",B48=""),"",SUMIFS(Timesheet!$K$2:$K$500,Timesheet!$B$2:$B$500,$A48,Timesheet!$C$2:$C$500,$B48))</f>
        <v/>
      </c>
      <c r="G48" s="14" t="str">
        <f>IF(OR(A48="",B48=""),"",SUMIFS(Purchases!$I$2:$I$500,Purchases!$B$2:$B$500,$A48,Purchases!$C$2:$C$500,$B48))</f>
        <v/>
      </c>
      <c r="H48" s="21" t="str">
        <f t="shared" si="4"/>
        <v/>
      </c>
      <c r="I48" s="21" t="str">
        <f t="shared" si="5"/>
        <v/>
      </c>
      <c r="J48" t="str">
        <f>IFERROR(INDEX(Employees!$C$2:$C$100,MATCH($B48,Employees!$A$2:$A$100,0)),"")</f>
        <v/>
      </c>
      <c r="K48">
        <f>IFERROR(INDEX(Employees!$D$2:$D$100,MATCH($B48,Employees!$A$2:$A$100,0)),0)</f>
        <v>0</v>
      </c>
      <c r="L48">
        <f>IFERROR(INDEX(Employees!$E$2:$E$100,MATCH($B48,Employees!$A$2:$A$100,0)),1)</f>
        <v>1</v>
      </c>
      <c r="M48">
        <f>IFERROR(INDEX(Employees!$F$2:$F$100,MATCH($B48,Employees!$A$2:$A$100,0)),1)</f>
        <v>1</v>
      </c>
    </row>
    <row r="49" spans="1:13">
      <c r="A49" s="5"/>
      <c r="B49" s="5"/>
      <c r="C49" s="13" t="str">
        <f>IF(OR(A49="",B49=""),"",SUMIFS(Timesheet!$I$2:$I$500,Timesheet!$B$2:$B$500,$A49,Timesheet!$C$2:$C$500,$B49))</f>
        <v/>
      </c>
      <c r="D49" s="14" t="str">
        <f>IF(B49="","",IFERROR(INDEX(Employees!$B$2:$B$100,MATCH($B49,Employees!$A$2:$A$100,0)),0))</f>
        <v/>
      </c>
      <c r="E49" s="21" t="str">
        <f t="shared" si="3"/>
        <v/>
      </c>
      <c r="F49" s="14" t="str">
        <f>IF(OR(A49="",B49=""),"",SUMIFS(Timesheet!$K$2:$K$500,Timesheet!$B$2:$B$500,$A49,Timesheet!$C$2:$C$500,$B49))</f>
        <v/>
      </c>
      <c r="G49" s="14" t="str">
        <f>IF(OR(A49="",B49=""),"",SUMIFS(Purchases!$I$2:$I$500,Purchases!$B$2:$B$500,$A49,Purchases!$C$2:$C$500,$B49))</f>
        <v/>
      </c>
      <c r="H49" s="21" t="str">
        <f t="shared" si="4"/>
        <v/>
      </c>
      <c r="I49" s="21" t="str">
        <f t="shared" si="5"/>
        <v/>
      </c>
      <c r="J49" t="str">
        <f>IFERROR(INDEX(Employees!$C$2:$C$100,MATCH($B49,Employees!$A$2:$A$100,0)),"")</f>
        <v/>
      </c>
      <c r="K49">
        <f>IFERROR(INDEX(Employees!$D$2:$D$100,MATCH($B49,Employees!$A$2:$A$100,0)),0)</f>
        <v>0</v>
      </c>
      <c r="L49">
        <f>IFERROR(INDEX(Employees!$E$2:$E$100,MATCH($B49,Employees!$A$2:$A$100,0)),1)</f>
        <v>1</v>
      </c>
      <c r="M49">
        <f>IFERROR(INDEX(Employees!$F$2:$F$100,MATCH($B49,Employees!$A$2:$A$100,0)),1)</f>
        <v>1</v>
      </c>
    </row>
    <row r="50" spans="1:13">
      <c r="A50" s="5"/>
      <c r="B50" s="5"/>
      <c r="C50" s="13" t="str">
        <f>IF(OR(A50="",B50=""),"",SUMIFS(Timesheet!$I$2:$I$500,Timesheet!$B$2:$B$500,$A50,Timesheet!$C$2:$C$500,$B50))</f>
        <v/>
      </c>
      <c r="D50" s="14" t="str">
        <f>IF(B50="","",IFERROR(INDEX(Employees!$B$2:$B$100,MATCH($B50,Employees!$A$2:$A$100,0)),0))</f>
        <v/>
      </c>
      <c r="E50" s="21" t="str">
        <f t="shared" si="3"/>
        <v/>
      </c>
      <c r="F50" s="14" t="str">
        <f>IF(OR(A50="",B50=""),"",SUMIFS(Timesheet!$K$2:$K$500,Timesheet!$B$2:$B$500,$A50,Timesheet!$C$2:$C$500,$B50))</f>
        <v/>
      </c>
      <c r="G50" s="14" t="str">
        <f>IF(OR(A50="",B50=""),"",SUMIFS(Purchases!$I$2:$I$500,Purchases!$B$2:$B$500,$A50,Purchases!$C$2:$C$500,$B50))</f>
        <v/>
      </c>
      <c r="H50" s="21" t="str">
        <f t="shared" si="4"/>
        <v/>
      </c>
      <c r="I50" s="21" t="str">
        <f t="shared" si="5"/>
        <v/>
      </c>
      <c r="J50" t="str">
        <f>IFERROR(INDEX(Employees!$C$2:$C$100,MATCH($B50,Employees!$A$2:$A$100,0)),"")</f>
        <v/>
      </c>
      <c r="K50">
        <f>IFERROR(INDEX(Employees!$D$2:$D$100,MATCH($B50,Employees!$A$2:$A$100,0)),0)</f>
        <v>0</v>
      </c>
      <c r="L50">
        <f>IFERROR(INDEX(Employees!$E$2:$E$100,MATCH($B50,Employees!$A$2:$A$100,0)),1)</f>
        <v>1</v>
      </c>
      <c r="M50">
        <f>IFERROR(INDEX(Employees!$F$2:$F$100,MATCH($B50,Employees!$A$2:$A$100,0)),1)</f>
        <v>1</v>
      </c>
    </row>
    <row r="51" spans="1:13">
      <c r="A51" s="5"/>
      <c r="B51" s="5"/>
      <c r="C51" s="13" t="str">
        <f>IF(OR(A51="",B51=""),"",SUMIFS(Timesheet!$I$2:$I$500,Timesheet!$B$2:$B$500,$A51,Timesheet!$C$2:$C$500,$B51))</f>
        <v/>
      </c>
      <c r="D51" s="14" t="str">
        <f>IF(B51="","",IFERROR(INDEX(Employees!$B$2:$B$100,MATCH($B51,Employees!$A$2:$A$100,0)),0))</f>
        <v/>
      </c>
      <c r="E51" s="21" t="str">
        <f t="shared" si="3"/>
        <v/>
      </c>
      <c r="F51" s="14" t="str">
        <f>IF(OR(A51="",B51=""),"",SUMIFS(Timesheet!$K$2:$K$500,Timesheet!$B$2:$B$500,$A51,Timesheet!$C$2:$C$500,$B51))</f>
        <v/>
      </c>
      <c r="G51" s="14" t="str">
        <f>IF(OR(A51="",B51=""),"",SUMIFS(Purchases!$I$2:$I$500,Purchases!$B$2:$B$500,$A51,Purchases!$C$2:$C$500,$B51))</f>
        <v/>
      </c>
      <c r="H51" s="21" t="str">
        <f t="shared" si="4"/>
        <v/>
      </c>
      <c r="I51" s="21" t="str">
        <f t="shared" si="5"/>
        <v/>
      </c>
      <c r="J51" t="str">
        <f>IFERROR(INDEX(Employees!$C$2:$C$100,MATCH($B51,Employees!$A$2:$A$100,0)),"")</f>
        <v/>
      </c>
      <c r="K51">
        <f>IFERROR(INDEX(Employees!$D$2:$D$100,MATCH($B51,Employees!$A$2:$A$100,0)),0)</f>
        <v>0</v>
      </c>
      <c r="L51">
        <f>IFERROR(INDEX(Employees!$E$2:$E$100,MATCH($B51,Employees!$A$2:$A$100,0)),1)</f>
        <v>1</v>
      </c>
      <c r="M51">
        <f>IFERROR(INDEX(Employees!$F$2:$F$100,MATCH($B51,Employees!$A$2:$A$100,0)),1)</f>
        <v>1</v>
      </c>
    </row>
    <row r="52" spans="1:13">
      <c r="A52" s="5"/>
      <c r="B52" s="5"/>
      <c r="C52" s="13" t="str">
        <f>IF(OR(A52="",B52=""),"",SUMIFS(Timesheet!$I$2:$I$500,Timesheet!$B$2:$B$500,$A52,Timesheet!$C$2:$C$500,$B52))</f>
        <v/>
      </c>
      <c r="D52" s="14" t="str">
        <f>IF(B52="","",IFERROR(INDEX(Employees!$B$2:$B$100,MATCH($B52,Employees!$A$2:$A$100,0)),0))</f>
        <v/>
      </c>
      <c r="E52" s="21" t="str">
        <f t="shared" si="3"/>
        <v/>
      </c>
      <c r="F52" s="14" t="str">
        <f>IF(OR(A52="",B52=""),"",SUMIFS(Timesheet!$K$2:$K$500,Timesheet!$B$2:$B$500,$A52,Timesheet!$C$2:$C$500,$B52))</f>
        <v/>
      </c>
      <c r="G52" s="14" t="str">
        <f>IF(OR(A52="",B52=""),"",SUMIFS(Purchases!$I$2:$I$500,Purchases!$B$2:$B$500,$A52,Purchases!$C$2:$C$500,$B52))</f>
        <v/>
      </c>
      <c r="H52" s="21" t="str">
        <f t="shared" si="4"/>
        <v/>
      </c>
      <c r="I52" s="21" t="str">
        <f t="shared" si="5"/>
        <v/>
      </c>
      <c r="J52" t="str">
        <f>IFERROR(INDEX(Employees!$C$2:$C$100,MATCH($B52,Employees!$A$2:$A$100,0)),"")</f>
        <v/>
      </c>
      <c r="K52">
        <f>IFERROR(INDEX(Employees!$D$2:$D$100,MATCH($B52,Employees!$A$2:$A$100,0)),0)</f>
        <v>0</v>
      </c>
      <c r="L52">
        <f>IFERROR(INDEX(Employees!$E$2:$E$100,MATCH($B52,Employees!$A$2:$A$100,0)),1)</f>
        <v>1</v>
      </c>
      <c r="M52">
        <f>IFERROR(INDEX(Employees!$F$2:$F$100,MATCH($B52,Employees!$A$2:$A$100,0)),1)</f>
        <v>1</v>
      </c>
    </row>
    <row r="53" spans="1:13">
      <c r="A53" s="5"/>
      <c r="B53" s="5"/>
      <c r="C53" s="13" t="str">
        <f>IF(OR(A53="",B53=""),"",SUMIFS(Timesheet!$I$2:$I$500,Timesheet!$B$2:$B$500,$A53,Timesheet!$C$2:$C$500,$B53))</f>
        <v/>
      </c>
      <c r="D53" s="14" t="str">
        <f>IF(B53="","",IFERROR(INDEX(Employees!$B$2:$B$100,MATCH($B53,Employees!$A$2:$A$100,0)),0))</f>
        <v/>
      </c>
      <c r="E53" s="21" t="str">
        <f t="shared" si="3"/>
        <v/>
      </c>
      <c r="F53" s="14" t="str">
        <f>IF(OR(A53="",B53=""),"",SUMIFS(Timesheet!$K$2:$K$500,Timesheet!$B$2:$B$500,$A53,Timesheet!$C$2:$C$500,$B53))</f>
        <v/>
      </c>
      <c r="G53" s="14" t="str">
        <f>IF(OR(A53="",B53=""),"",SUMIFS(Purchases!$I$2:$I$500,Purchases!$B$2:$B$500,$A53,Purchases!$C$2:$C$500,$B53))</f>
        <v/>
      </c>
      <c r="H53" s="21" t="str">
        <f t="shared" si="4"/>
        <v/>
      </c>
      <c r="I53" s="21" t="str">
        <f t="shared" si="5"/>
        <v/>
      </c>
      <c r="J53" t="str">
        <f>IFERROR(INDEX(Employees!$C$2:$C$100,MATCH($B53,Employees!$A$2:$A$100,0)),"")</f>
        <v/>
      </c>
      <c r="K53">
        <f>IFERROR(INDEX(Employees!$D$2:$D$100,MATCH($B53,Employees!$A$2:$A$100,0)),0)</f>
        <v>0</v>
      </c>
      <c r="L53">
        <f>IFERROR(INDEX(Employees!$E$2:$E$100,MATCH($B53,Employees!$A$2:$A$100,0)),1)</f>
        <v>1</v>
      </c>
      <c r="M53">
        <f>IFERROR(INDEX(Employees!$F$2:$F$100,MATCH($B53,Employees!$A$2:$A$100,0)),1)</f>
        <v>1</v>
      </c>
    </row>
    <row r="54" spans="1:13">
      <c r="A54" s="5"/>
      <c r="B54" s="5"/>
      <c r="C54" s="13" t="str">
        <f>IF(OR(A54="",B54=""),"",SUMIFS(Timesheet!$I$2:$I$500,Timesheet!$B$2:$B$500,$A54,Timesheet!$C$2:$C$500,$B54))</f>
        <v/>
      </c>
      <c r="D54" s="14" t="str">
        <f>IF(B54="","",IFERROR(INDEX(Employees!$B$2:$B$100,MATCH($B54,Employees!$A$2:$A$100,0)),0))</f>
        <v/>
      </c>
      <c r="E54" s="21" t="str">
        <f t="shared" si="3"/>
        <v/>
      </c>
      <c r="F54" s="14" t="str">
        <f>IF(OR(A54="",B54=""),"",SUMIFS(Timesheet!$K$2:$K$500,Timesheet!$B$2:$B$500,$A54,Timesheet!$C$2:$C$500,$B54))</f>
        <v/>
      </c>
      <c r="G54" s="14" t="str">
        <f>IF(OR(A54="",B54=""),"",SUMIFS(Purchases!$I$2:$I$500,Purchases!$B$2:$B$500,$A54,Purchases!$C$2:$C$500,$B54))</f>
        <v/>
      </c>
      <c r="H54" s="21" t="str">
        <f t="shared" si="4"/>
        <v/>
      </c>
      <c r="I54" s="21" t="str">
        <f t="shared" si="5"/>
        <v/>
      </c>
      <c r="J54" t="str">
        <f>IFERROR(INDEX(Employees!$C$2:$C$100,MATCH($B54,Employees!$A$2:$A$100,0)),"")</f>
        <v/>
      </c>
      <c r="K54">
        <f>IFERROR(INDEX(Employees!$D$2:$D$100,MATCH($B54,Employees!$A$2:$A$100,0)),0)</f>
        <v>0</v>
      </c>
      <c r="L54">
        <f>IFERROR(INDEX(Employees!$E$2:$E$100,MATCH($B54,Employees!$A$2:$A$100,0)),1)</f>
        <v>1</v>
      </c>
      <c r="M54">
        <f>IFERROR(INDEX(Employees!$F$2:$F$100,MATCH($B54,Employees!$A$2:$A$100,0)),1)</f>
        <v>1</v>
      </c>
    </row>
    <row r="55" spans="1:13">
      <c r="A55" s="5"/>
      <c r="B55" s="5"/>
      <c r="C55" s="13" t="str">
        <f>IF(OR(A55="",B55=""),"",SUMIFS(Timesheet!$I$2:$I$500,Timesheet!$B$2:$B$500,$A55,Timesheet!$C$2:$C$500,$B55))</f>
        <v/>
      </c>
      <c r="D55" s="14" t="str">
        <f>IF(B55="","",IFERROR(INDEX(Employees!$B$2:$B$100,MATCH($B55,Employees!$A$2:$A$100,0)),0))</f>
        <v/>
      </c>
      <c r="E55" s="21" t="str">
        <f t="shared" si="3"/>
        <v/>
      </c>
      <c r="F55" s="14" t="str">
        <f>IF(OR(A55="",B55=""),"",SUMIFS(Timesheet!$K$2:$K$500,Timesheet!$B$2:$B$500,$A55,Timesheet!$C$2:$C$500,$B55))</f>
        <v/>
      </c>
      <c r="G55" s="14" t="str">
        <f>IF(OR(A55="",B55=""),"",SUMIFS(Purchases!$I$2:$I$500,Purchases!$B$2:$B$500,$A55,Purchases!$C$2:$C$500,$B55))</f>
        <v/>
      </c>
      <c r="H55" s="21" t="str">
        <f t="shared" si="4"/>
        <v/>
      </c>
      <c r="I55" s="21" t="str">
        <f t="shared" si="5"/>
        <v/>
      </c>
      <c r="J55" t="str">
        <f>IFERROR(INDEX(Employees!$C$2:$C$100,MATCH($B55,Employees!$A$2:$A$100,0)),"")</f>
        <v/>
      </c>
      <c r="K55">
        <f>IFERROR(INDEX(Employees!$D$2:$D$100,MATCH($B55,Employees!$A$2:$A$100,0)),0)</f>
        <v>0</v>
      </c>
      <c r="L55">
        <f>IFERROR(INDEX(Employees!$E$2:$E$100,MATCH($B55,Employees!$A$2:$A$100,0)),1)</f>
        <v>1</v>
      </c>
      <c r="M55">
        <f>IFERROR(INDEX(Employees!$F$2:$F$100,MATCH($B55,Employees!$A$2:$A$100,0)),1)</f>
        <v>1</v>
      </c>
    </row>
    <row r="56" spans="1:13">
      <c r="A56" s="5"/>
      <c r="B56" s="5"/>
      <c r="C56" s="13" t="str">
        <f>IF(OR(A56="",B56=""),"",SUMIFS(Timesheet!$I$2:$I$500,Timesheet!$B$2:$B$500,$A56,Timesheet!$C$2:$C$500,$B56))</f>
        <v/>
      </c>
      <c r="D56" s="14" t="str">
        <f>IF(B56="","",IFERROR(INDEX(Employees!$B$2:$B$100,MATCH($B56,Employees!$A$2:$A$100,0)),0))</f>
        <v/>
      </c>
      <c r="E56" s="21" t="str">
        <f t="shared" si="3"/>
        <v/>
      </c>
      <c r="F56" s="14" t="str">
        <f>IF(OR(A56="",B56=""),"",SUMIFS(Timesheet!$K$2:$K$500,Timesheet!$B$2:$B$500,$A56,Timesheet!$C$2:$C$500,$B56))</f>
        <v/>
      </c>
      <c r="G56" s="14" t="str">
        <f>IF(OR(A56="",B56=""),"",SUMIFS(Purchases!$I$2:$I$500,Purchases!$B$2:$B$500,$A56,Purchases!$C$2:$C$500,$B56))</f>
        <v/>
      </c>
      <c r="H56" s="21" t="str">
        <f t="shared" si="4"/>
        <v/>
      </c>
      <c r="I56" s="21" t="str">
        <f t="shared" si="5"/>
        <v/>
      </c>
      <c r="J56" t="str">
        <f>IFERROR(INDEX(Employees!$C$2:$C$100,MATCH($B56,Employees!$A$2:$A$100,0)),"")</f>
        <v/>
      </c>
      <c r="K56">
        <f>IFERROR(INDEX(Employees!$D$2:$D$100,MATCH($B56,Employees!$A$2:$A$100,0)),0)</f>
        <v>0</v>
      </c>
      <c r="L56">
        <f>IFERROR(INDEX(Employees!$E$2:$E$100,MATCH($B56,Employees!$A$2:$A$100,0)),1)</f>
        <v>1</v>
      </c>
      <c r="M56">
        <f>IFERROR(INDEX(Employees!$F$2:$F$100,MATCH($B56,Employees!$A$2:$A$100,0)),1)</f>
        <v>1</v>
      </c>
    </row>
    <row r="57" spans="1:13">
      <c r="A57" s="5"/>
      <c r="B57" s="5"/>
      <c r="C57" s="13" t="str">
        <f>IF(OR(A57="",B57=""),"",SUMIFS(Timesheet!$I$2:$I$500,Timesheet!$B$2:$B$500,$A57,Timesheet!$C$2:$C$500,$B57))</f>
        <v/>
      </c>
      <c r="D57" s="14" t="str">
        <f>IF(B57="","",IFERROR(INDEX(Employees!$B$2:$B$100,MATCH($B57,Employees!$A$2:$A$100,0)),0))</f>
        <v/>
      </c>
      <c r="E57" s="21" t="str">
        <f t="shared" si="3"/>
        <v/>
      </c>
      <c r="F57" s="14" t="str">
        <f>IF(OR(A57="",B57=""),"",SUMIFS(Timesheet!$K$2:$K$500,Timesheet!$B$2:$B$500,$A57,Timesheet!$C$2:$C$500,$B57))</f>
        <v/>
      </c>
      <c r="G57" s="14" t="str">
        <f>IF(OR(A57="",B57=""),"",SUMIFS(Purchases!$I$2:$I$500,Purchases!$B$2:$B$500,$A57,Purchases!$C$2:$C$500,$B57))</f>
        <v/>
      </c>
      <c r="H57" s="21" t="str">
        <f t="shared" si="4"/>
        <v/>
      </c>
      <c r="I57" s="21" t="str">
        <f t="shared" si="5"/>
        <v/>
      </c>
      <c r="J57" t="str">
        <f>IFERROR(INDEX(Employees!$C$2:$C$100,MATCH($B57,Employees!$A$2:$A$100,0)),"")</f>
        <v/>
      </c>
      <c r="K57">
        <f>IFERROR(INDEX(Employees!$D$2:$D$100,MATCH($B57,Employees!$A$2:$A$100,0)),0)</f>
        <v>0</v>
      </c>
      <c r="L57">
        <f>IFERROR(INDEX(Employees!$E$2:$E$100,MATCH($B57,Employees!$A$2:$A$100,0)),1)</f>
        <v>1</v>
      </c>
      <c r="M57">
        <f>IFERROR(INDEX(Employees!$F$2:$F$100,MATCH($B57,Employees!$A$2:$A$100,0)),1)</f>
        <v>1</v>
      </c>
    </row>
    <row r="58" spans="1:13">
      <c r="A58" s="5"/>
      <c r="B58" s="5"/>
      <c r="C58" s="13" t="str">
        <f>IF(OR(A58="",B58=""),"",SUMIFS(Timesheet!$I$2:$I$500,Timesheet!$B$2:$B$500,$A58,Timesheet!$C$2:$C$500,$B58))</f>
        <v/>
      </c>
      <c r="D58" s="14" t="str">
        <f>IF(B58="","",IFERROR(INDEX(Employees!$B$2:$B$100,MATCH($B58,Employees!$A$2:$A$100,0)),0))</f>
        <v/>
      </c>
      <c r="E58" s="21" t="str">
        <f t="shared" si="3"/>
        <v/>
      </c>
      <c r="F58" s="14" t="str">
        <f>IF(OR(A58="",B58=""),"",SUMIFS(Timesheet!$K$2:$K$500,Timesheet!$B$2:$B$500,$A58,Timesheet!$C$2:$C$500,$B58))</f>
        <v/>
      </c>
      <c r="G58" s="14" t="str">
        <f>IF(OR(A58="",B58=""),"",SUMIFS(Purchases!$I$2:$I$500,Purchases!$B$2:$B$500,$A58,Purchases!$C$2:$C$500,$B58))</f>
        <v/>
      </c>
      <c r="H58" s="21" t="str">
        <f t="shared" si="4"/>
        <v/>
      </c>
      <c r="I58" s="21" t="str">
        <f t="shared" si="5"/>
        <v/>
      </c>
      <c r="J58" t="str">
        <f>IFERROR(INDEX(Employees!$C$2:$C$100,MATCH($B58,Employees!$A$2:$A$100,0)),"")</f>
        <v/>
      </c>
      <c r="K58">
        <f>IFERROR(INDEX(Employees!$D$2:$D$100,MATCH($B58,Employees!$A$2:$A$100,0)),0)</f>
        <v>0</v>
      </c>
      <c r="L58">
        <f>IFERROR(INDEX(Employees!$E$2:$E$100,MATCH($B58,Employees!$A$2:$A$100,0)),1)</f>
        <v>1</v>
      </c>
      <c r="M58">
        <f>IFERROR(INDEX(Employees!$F$2:$F$100,MATCH($B58,Employees!$A$2:$A$100,0)),1)</f>
        <v>1</v>
      </c>
    </row>
    <row r="59" spans="1:13">
      <c r="A59" s="5"/>
      <c r="B59" s="5"/>
      <c r="C59" s="13" t="str">
        <f>IF(OR(A59="",B59=""),"",SUMIFS(Timesheet!$I$2:$I$500,Timesheet!$B$2:$B$500,$A59,Timesheet!$C$2:$C$500,$B59))</f>
        <v/>
      </c>
      <c r="D59" s="14" t="str">
        <f>IF(B59="","",IFERROR(INDEX(Employees!$B$2:$B$100,MATCH($B59,Employees!$A$2:$A$100,0)),0))</f>
        <v/>
      </c>
      <c r="E59" s="21" t="str">
        <f t="shared" si="3"/>
        <v/>
      </c>
      <c r="F59" s="14" t="str">
        <f>IF(OR(A59="",B59=""),"",SUMIFS(Timesheet!$K$2:$K$500,Timesheet!$B$2:$B$500,$A59,Timesheet!$C$2:$C$500,$B59))</f>
        <v/>
      </c>
      <c r="G59" s="14" t="str">
        <f>IF(OR(A59="",B59=""),"",SUMIFS(Purchases!$I$2:$I$500,Purchases!$B$2:$B$500,$A59,Purchases!$C$2:$C$500,$B59))</f>
        <v/>
      </c>
      <c r="H59" s="21" t="str">
        <f t="shared" si="4"/>
        <v/>
      </c>
      <c r="I59" s="21" t="str">
        <f t="shared" si="5"/>
        <v/>
      </c>
      <c r="J59" t="str">
        <f>IFERROR(INDEX(Employees!$C$2:$C$100,MATCH($B59,Employees!$A$2:$A$100,0)),"")</f>
        <v/>
      </c>
      <c r="K59">
        <f>IFERROR(INDEX(Employees!$D$2:$D$100,MATCH($B59,Employees!$A$2:$A$100,0)),0)</f>
        <v>0</v>
      </c>
      <c r="L59">
        <f>IFERROR(INDEX(Employees!$E$2:$E$100,MATCH($B59,Employees!$A$2:$A$100,0)),1)</f>
        <v>1</v>
      </c>
      <c r="M59">
        <f>IFERROR(INDEX(Employees!$F$2:$F$100,MATCH($B59,Employees!$A$2:$A$100,0)),1)</f>
        <v>1</v>
      </c>
    </row>
    <row r="60" spans="1:13">
      <c r="A60" s="5"/>
      <c r="B60" s="5"/>
      <c r="C60" s="13" t="str">
        <f>IF(OR(A60="",B60=""),"",SUMIFS(Timesheet!$I$2:$I$500,Timesheet!$B$2:$B$500,$A60,Timesheet!$C$2:$C$500,$B60))</f>
        <v/>
      </c>
      <c r="D60" s="14" t="str">
        <f>IF(B60="","",IFERROR(INDEX(Employees!$B$2:$B$100,MATCH($B60,Employees!$A$2:$A$100,0)),0))</f>
        <v/>
      </c>
      <c r="E60" s="21" t="str">
        <f t="shared" si="3"/>
        <v/>
      </c>
      <c r="F60" s="14" t="str">
        <f>IF(OR(A60="",B60=""),"",SUMIFS(Timesheet!$K$2:$K$500,Timesheet!$B$2:$B$500,$A60,Timesheet!$C$2:$C$500,$B60))</f>
        <v/>
      </c>
      <c r="G60" s="14" t="str">
        <f>IF(OR(A60="",B60=""),"",SUMIFS(Purchases!$I$2:$I$500,Purchases!$B$2:$B$500,$A60,Purchases!$C$2:$C$500,$B60))</f>
        <v/>
      </c>
      <c r="H60" s="21" t="str">
        <f t="shared" si="4"/>
        <v/>
      </c>
      <c r="I60" s="21" t="str">
        <f t="shared" si="5"/>
        <v/>
      </c>
      <c r="J60" t="str">
        <f>IFERROR(INDEX(Employees!$C$2:$C$100,MATCH($B60,Employees!$A$2:$A$100,0)),"")</f>
        <v/>
      </c>
      <c r="K60">
        <f>IFERROR(INDEX(Employees!$D$2:$D$100,MATCH($B60,Employees!$A$2:$A$100,0)),0)</f>
        <v>0</v>
      </c>
      <c r="L60">
        <f>IFERROR(INDEX(Employees!$E$2:$E$100,MATCH($B60,Employees!$A$2:$A$100,0)),1)</f>
        <v>1</v>
      </c>
      <c r="M60">
        <f>IFERROR(INDEX(Employees!$F$2:$F$100,MATCH($B60,Employees!$A$2:$A$100,0)),1)</f>
        <v>1</v>
      </c>
    </row>
    <row r="61" spans="1:13">
      <c r="A61" s="5"/>
      <c r="B61" s="5"/>
      <c r="C61" s="13" t="str">
        <f>IF(OR(A61="",B61=""),"",SUMIFS(Timesheet!$I$2:$I$500,Timesheet!$B$2:$B$500,$A61,Timesheet!$C$2:$C$500,$B61))</f>
        <v/>
      </c>
      <c r="D61" s="14" t="str">
        <f>IF(B61="","",IFERROR(INDEX(Employees!$B$2:$B$100,MATCH($B61,Employees!$A$2:$A$100,0)),0))</f>
        <v/>
      </c>
      <c r="E61" s="21" t="str">
        <f t="shared" si="3"/>
        <v/>
      </c>
      <c r="F61" s="14" t="str">
        <f>IF(OR(A61="",B61=""),"",SUMIFS(Timesheet!$K$2:$K$500,Timesheet!$B$2:$B$500,$A61,Timesheet!$C$2:$C$500,$B61))</f>
        <v/>
      </c>
      <c r="G61" s="14" t="str">
        <f>IF(OR(A61="",B61=""),"",SUMIFS(Purchases!$I$2:$I$500,Purchases!$B$2:$B$500,$A61,Purchases!$C$2:$C$500,$B61))</f>
        <v/>
      </c>
      <c r="H61" s="21" t="str">
        <f t="shared" si="4"/>
        <v/>
      </c>
      <c r="I61" s="21" t="str">
        <f t="shared" si="5"/>
        <v/>
      </c>
      <c r="J61" t="str">
        <f>IFERROR(INDEX(Employees!$C$2:$C$100,MATCH($B61,Employees!$A$2:$A$100,0)),"")</f>
        <v/>
      </c>
      <c r="K61">
        <f>IFERROR(INDEX(Employees!$D$2:$D$100,MATCH($B61,Employees!$A$2:$A$100,0)),0)</f>
        <v>0</v>
      </c>
      <c r="L61">
        <f>IFERROR(INDEX(Employees!$E$2:$E$100,MATCH($B61,Employees!$A$2:$A$100,0)),1)</f>
        <v>1</v>
      </c>
      <c r="M61">
        <f>IFERROR(INDEX(Employees!$F$2:$F$100,MATCH($B61,Employees!$A$2:$A$100,0)),1)</f>
        <v>1</v>
      </c>
    </row>
    <row r="62" spans="1:13">
      <c r="A62" s="5"/>
      <c r="B62" s="5"/>
      <c r="C62" s="13" t="str">
        <f>IF(OR(A62="",B62=""),"",SUMIFS(Timesheet!$I$2:$I$500,Timesheet!$B$2:$B$500,$A62,Timesheet!$C$2:$C$500,$B62))</f>
        <v/>
      </c>
      <c r="D62" s="14" t="str">
        <f>IF(B62="","",IFERROR(INDEX(Employees!$B$2:$B$100,MATCH($B62,Employees!$A$2:$A$100,0)),0))</f>
        <v/>
      </c>
      <c r="E62" s="21" t="str">
        <f t="shared" si="3"/>
        <v/>
      </c>
      <c r="F62" s="14" t="str">
        <f>IF(OR(A62="",B62=""),"",SUMIFS(Timesheet!$K$2:$K$500,Timesheet!$B$2:$B$500,$A62,Timesheet!$C$2:$C$500,$B62))</f>
        <v/>
      </c>
      <c r="G62" s="14" t="str">
        <f>IF(OR(A62="",B62=""),"",SUMIFS(Purchases!$I$2:$I$500,Purchases!$B$2:$B$500,$A62,Purchases!$C$2:$C$500,$B62))</f>
        <v/>
      </c>
      <c r="H62" s="21" t="str">
        <f t="shared" si="4"/>
        <v/>
      </c>
      <c r="I62" s="21" t="str">
        <f t="shared" si="5"/>
        <v/>
      </c>
      <c r="J62" t="str">
        <f>IFERROR(INDEX(Employees!$C$2:$C$100,MATCH($B62,Employees!$A$2:$A$100,0)),"")</f>
        <v/>
      </c>
      <c r="K62">
        <f>IFERROR(INDEX(Employees!$D$2:$D$100,MATCH($B62,Employees!$A$2:$A$100,0)),0)</f>
        <v>0</v>
      </c>
      <c r="L62">
        <f>IFERROR(INDEX(Employees!$E$2:$E$100,MATCH($B62,Employees!$A$2:$A$100,0)),1)</f>
        <v>1</v>
      </c>
      <c r="M62">
        <f>IFERROR(INDEX(Employees!$F$2:$F$100,MATCH($B62,Employees!$A$2:$A$100,0)),1)</f>
        <v>1</v>
      </c>
    </row>
    <row r="63" spans="1:13">
      <c r="A63" s="5"/>
      <c r="B63" s="5"/>
      <c r="C63" s="13" t="str">
        <f>IF(OR(A63="",B63=""),"",SUMIFS(Timesheet!$I$2:$I$500,Timesheet!$B$2:$B$500,$A63,Timesheet!$C$2:$C$500,$B63))</f>
        <v/>
      </c>
      <c r="D63" s="14" t="str">
        <f>IF(B63="","",IFERROR(INDEX(Employees!$B$2:$B$100,MATCH($B63,Employees!$A$2:$A$100,0)),0))</f>
        <v/>
      </c>
      <c r="E63" s="21" t="str">
        <f t="shared" si="3"/>
        <v/>
      </c>
      <c r="F63" s="14" t="str">
        <f>IF(OR(A63="",B63=""),"",SUMIFS(Timesheet!$K$2:$K$500,Timesheet!$B$2:$B$500,$A63,Timesheet!$C$2:$C$500,$B63))</f>
        <v/>
      </c>
      <c r="G63" s="14" t="str">
        <f>IF(OR(A63="",B63=""),"",SUMIFS(Purchases!$I$2:$I$500,Purchases!$B$2:$B$500,$A63,Purchases!$C$2:$C$500,$B63))</f>
        <v/>
      </c>
      <c r="H63" s="21" t="str">
        <f t="shared" si="4"/>
        <v/>
      </c>
      <c r="I63" s="21" t="str">
        <f t="shared" si="5"/>
        <v/>
      </c>
      <c r="J63" t="str">
        <f>IFERROR(INDEX(Employees!$C$2:$C$100,MATCH($B63,Employees!$A$2:$A$100,0)),"")</f>
        <v/>
      </c>
      <c r="K63">
        <f>IFERROR(INDEX(Employees!$D$2:$D$100,MATCH($B63,Employees!$A$2:$A$100,0)),0)</f>
        <v>0</v>
      </c>
      <c r="L63">
        <f>IFERROR(INDEX(Employees!$E$2:$E$100,MATCH($B63,Employees!$A$2:$A$100,0)),1)</f>
        <v>1</v>
      </c>
      <c r="M63">
        <f>IFERROR(INDEX(Employees!$F$2:$F$100,MATCH($B63,Employees!$A$2:$A$100,0)),1)</f>
        <v>1</v>
      </c>
    </row>
    <row r="64" spans="1:13">
      <c r="A64" s="5"/>
      <c r="B64" s="5"/>
      <c r="C64" s="13" t="str">
        <f>IF(OR(A64="",B64=""),"",SUMIFS(Timesheet!$I$2:$I$500,Timesheet!$B$2:$B$500,$A64,Timesheet!$C$2:$C$500,$B64))</f>
        <v/>
      </c>
      <c r="D64" s="14" t="str">
        <f>IF(B64="","",IFERROR(INDEX(Employees!$B$2:$B$100,MATCH($B64,Employees!$A$2:$A$100,0)),0))</f>
        <v/>
      </c>
      <c r="E64" s="21" t="str">
        <f t="shared" si="3"/>
        <v/>
      </c>
      <c r="F64" s="14" t="str">
        <f>IF(OR(A64="",B64=""),"",SUMIFS(Timesheet!$K$2:$K$500,Timesheet!$B$2:$B$500,$A64,Timesheet!$C$2:$C$500,$B64))</f>
        <v/>
      </c>
      <c r="G64" s="14" t="str">
        <f>IF(OR(A64="",B64=""),"",SUMIFS(Purchases!$I$2:$I$500,Purchases!$B$2:$B$500,$A64,Purchases!$C$2:$C$500,$B64))</f>
        <v/>
      </c>
      <c r="H64" s="21" t="str">
        <f t="shared" si="4"/>
        <v/>
      </c>
      <c r="I64" s="21" t="str">
        <f t="shared" si="5"/>
        <v/>
      </c>
      <c r="J64" t="str">
        <f>IFERROR(INDEX(Employees!$C$2:$C$100,MATCH($B64,Employees!$A$2:$A$100,0)),"")</f>
        <v/>
      </c>
      <c r="K64">
        <f>IFERROR(INDEX(Employees!$D$2:$D$100,MATCH($B64,Employees!$A$2:$A$100,0)),0)</f>
        <v>0</v>
      </c>
      <c r="L64">
        <f>IFERROR(INDEX(Employees!$E$2:$E$100,MATCH($B64,Employees!$A$2:$A$100,0)),1)</f>
        <v>1</v>
      </c>
      <c r="M64">
        <f>IFERROR(INDEX(Employees!$F$2:$F$100,MATCH($B64,Employees!$A$2:$A$100,0)),1)</f>
        <v>1</v>
      </c>
    </row>
    <row r="65" spans="1:13">
      <c r="A65" s="5"/>
      <c r="B65" s="5"/>
      <c r="C65" s="13" t="str">
        <f>IF(OR(A65="",B65=""),"",SUMIFS(Timesheet!$I$2:$I$500,Timesheet!$B$2:$B$500,$A65,Timesheet!$C$2:$C$500,$B65))</f>
        <v/>
      </c>
      <c r="D65" s="14" t="str">
        <f>IF(B65="","",IFERROR(INDEX(Employees!$B$2:$B$100,MATCH($B65,Employees!$A$2:$A$100,0)),0))</f>
        <v/>
      </c>
      <c r="E65" s="21" t="str">
        <f t="shared" si="3"/>
        <v/>
      </c>
      <c r="F65" s="14" t="str">
        <f>IF(OR(A65="",B65=""),"",SUMIFS(Timesheet!$K$2:$K$500,Timesheet!$B$2:$B$500,$A65,Timesheet!$C$2:$C$500,$B65))</f>
        <v/>
      </c>
      <c r="G65" s="14" t="str">
        <f>IF(OR(A65="",B65=""),"",SUMIFS(Purchases!$I$2:$I$500,Purchases!$B$2:$B$500,$A65,Purchases!$C$2:$C$500,$B65))</f>
        <v/>
      </c>
      <c r="H65" s="21" t="str">
        <f t="shared" si="4"/>
        <v/>
      </c>
      <c r="I65" s="21" t="str">
        <f t="shared" si="5"/>
        <v/>
      </c>
      <c r="J65" t="str">
        <f>IFERROR(INDEX(Employees!$C$2:$C$100,MATCH($B65,Employees!$A$2:$A$100,0)),"")</f>
        <v/>
      </c>
      <c r="K65">
        <f>IFERROR(INDEX(Employees!$D$2:$D$100,MATCH($B65,Employees!$A$2:$A$100,0)),0)</f>
        <v>0</v>
      </c>
      <c r="L65">
        <f>IFERROR(INDEX(Employees!$E$2:$E$100,MATCH($B65,Employees!$A$2:$A$100,0)),1)</f>
        <v>1</v>
      </c>
      <c r="M65">
        <f>IFERROR(INDEX(Employees!$F$2:$F$100,MATCH($B65,Employees!$A$2:$A$100,0)),1)</f>
        <v>1</v>
      </c>
    </row>
    <row r="66" spans="1:13">
      <c r="A66" s="5"/>
      <c r="B66" s="5"/>
      <c r="C66" s="13" t="str">
        <f>IF(OR(A66="",B66=""),"",SUMIFS(Timesheet!$I$2:$I$500,Timesheet!$B$2:$B$500,$A66,Timesheet!$C$2:$C$500,$B66))</f>
        <v/>
      </c>
      <c r="D66" s="14" t="str">
        <f>IF(B66="","",IFERROR(INDEX(Employees!$B$2:$B$100,MATCH($B66,Employees!$A$2:$A$100,0)),0))</f>
        <v/>
      </c>
      <c r="E66" s="21" t="str">
        <f t="shared" ref="E66:E97" si="6">IF(C66="","",ROUND(C66*D66,0))</f>
        <v/>
      </c>
      <c r="F66" s="14" t="str">
        <f>IF(OR(A66="",B66=""),"",SUMIFS(Timesheet!$K$2:$K$500,Timesheet!$B$2:$B$500,$A66,Timesheet!$C$2:$C$500,$B66))</f>
        <v/>
      </c>
      <c r="G66" s="14" t="str">
        <f>IF(OR(A66="",B66=""),"",SUMIFS(Purchases!$I$2:$I$500,Purchases!$B$2:$B$500,$A66,Purchases!$C$2:$C$500,$B66))</f>
        <v/>
      </c>
      <c r="H66" s="21" t="str">
        <f t="shared" ref="H66:H97" si="7">IF(G66="","",IF(J66="88折，滿2500再9折",ROUND(G66*L66*IF(G66&gt;=K66,M66,1),0),IF(J66="統一9折",ROUND(G66*M66,0),ROUND(G66,0))))</f>
        <v/>
      </c>
      <c r="I66" s="21" t="str">
        <f t="shared" ref="I66:I97" si="8">IF(E66="","",E66+F66-H66)</f>
        <v/>
      </c>
      <c r="J66" t="str">
        <f>IFERROR(INDEX(Employees!$C$2:$C$100,MATCH($B66,Employees!$A$2:$A$100,0)),"")</f>
        <v/>
      </c>
      <c r="K66">
        <f>IFERROR(INDEX(Employees!$D$2:$D$100,MATCH($B66,Employees!$A$2:$A$100,0)),0)</f>
        <v>0</v>
      </c>
      <c r="L66">
        <f>IFERROR(INDEX(Employees!$E$2:$E$100,MATCH($B66,Employees!$A$2:$A$100,0)),1)</f>
        <v>1</v>
      </c>
      <c r="M66">
        <f>IFERROR(INDEX(Employees!$F$2:$F$100,MATCH($B66,Employees!$A$2:$A$100,0)),1)</f>
        <v>1</v>
      </c>
    </row>
    <row r="67" spans="1:13">
      <c r="A67" s="5"/>
      <c r="B67" s="5"/>
      <c r="C67" s="13" t="str">
        <f>IF(OR(A67="",B67=""),"",SUMIFS(Timesheet!$I$2:$I$500,Timesheet!$B$2:$B$500,$A67,Timesheet!$C$2:$C$500,$B67))</f>
        <v/>
      </c>
      <c r="D67" s="14" t="str">
        <f>IF(B67="","",IFERROR(INDEX(Employees!$B$2:$B$100,MATCH($B67,Employees!$A$2:$A$100,0)),0))</f>
        <v/>
      </c>
      <c r="E67" s="21" t="str">
        <f t="shared" si="6"/>
        <v/>
      </c>
      <c r="F67" s="14" t="str">
        <f>IF(OR(A67="",B67=""),"",SUMIFS(Timesheet!$K$2:$K$500,Timesheet!$B$2:$B$500,$A67,Timesheet!$C$2:$C$500,$B67))</f>
        <v/>
      </c>
      <c r="G67" s="14" t="str">
        <f>IF(OR(A67="",B67=""),"",SUMIFS(Purchases!$I$2:$I$500,Purchases!$B$2:$B$500,$A67,Purchases!$C$2:$C$500,$B67))</f>
        <v/>
      </c>
      <c r="H67" s="21" t="str">
        <f t="shared" si="7"/>
        <v/>
      </c>
      <c r="I67" s="21" t="str">
        <f t="shared" si="8"/>
        <v/>
      </c>
      <c r="J67" t="str">
        <f>IFERROR(INDEX(Employees!$C$2:$C$100,MATCH($B67,Employees!$A$2:$A$100,0)),"")</f>
        <v/>
      </c>
      <c r="K67">
        <f>IFERROR(INDEX(Employees!$D$2:$D$100,MATCH($B67,Employees!$A$2:$A$100,0)),0)</f>
        <v>0</v>
      </c>
      <c r="L67">
        <f>IFERROR(INDEX(Employees!$E$2:$E$100,MATCH($B67,Employees!$A$2:$A$100,0)),1)</f>
        <v>1</v>
      </c>
      <c r="M67">
        <f>IFERROR(INDEX(Employees!$F$2:$F$100,MATCH($B67,Employees!$A$2:$A$100,0)),1)</f>
        <v>1</v>
      </c>
    </row>
    <row r="68" spans="1:13">
      <c r="A68" s="5"/>
      <c r="B68" s="5"/>
      <c r="C68" s="13" t="str">
        <f>IF(OR(A68="",B68=""),"",SUMIFS(Timesheet!$I$2:$I$500,Timesheet!$B$2:$B$500,$A68,Timesheet!$C$2:$C$500,$B68))</f>
        <v/>
      </c>
      <c r="D68" s="14" t="str">
        <f>IF(B68="","",IFERROR(INDEX(Employees!$B$2:$B$100,MATCH($B68,Employees!$A$2:$A$100,0)),0))</f>
        <v/>
      </c>
      <c r="E68" s="21" t="str">
        <f t="shared" si="6"/>
        <v/>
      </c>
      <c r="F68" s="14" t="str">
        <f>IF(OR(A68="",B68=""),"",SUMIFS(Timesheet!$K$2:$K$500,Timesheet!$B$2:$B$500,$A68,Timesheet!$C$2:$C$500,$B68))</f>
        <v/>
      </c>
      <c r="G68" s="14" t="str">
        <f>IF(OR(A68="",B68=""),"",SUMIFS(Purchases!$I$2:$I$500,Purchases!$B$2:$B$500,$A68,Purchases!$C$2:$C$500,$B68))</f>
        <v/>
      </c>
      <c r="H68" s="21" t="str">
        <f t="shared" si="7"/>
        <v/>
      </c>
      <c r="I68" s="21" t="str">
        <f t="shared" si="8"/>
        <v/>
      </c>
      <c r="J68" t="str">
        <f>IFERROR(INDEX(Employees!$C$2:$C$100,MATCH($B68,Employees!$A$2:$A$100,0)),"")</f>
        <v/>
      </c>
      <c r="K68">
        <f>IFERROR(INDEX(Employees!$D$2:$D$100,MATCH($B68,Employees!$A$2:$A$100,0)),0)</f>
        <v>0</v>
      </c>
      <c r="L68">
        <f>IFERROR(INDEX(Employees!$E$2:$E$100,MATCH($B68,Employees!$A$2:$A$100,0)),1)</f>
        <v>1</v>
      </c>
      <c r="M68">
        <f>IFERROR(INDEX(Employees!$F$2:$F$100,MATCH($B68,Employees!$A$2:$A$100,0)),1)</f>
        <v>1</v>
      </c>
    </row>
    <row r="69" spans="1:13">
      <c r="A69" s="5"/>
      <c r="B69" s="5"/>
      <c r="C69" s="13" t="str">
        <f>IF(OR(A69="",B69=""),"",SUMIFS(Timesheet!$I$2:$I$500,Timesheet!$B$2:$B$500,$A69,Timesheet!$C$2:$C$500,$B69))</f>
        <v/>
      </c>
      <c r="D69" s="14" t="str">
        <f>IF(B69="","",IFERROR(INDEX(Employees!$B$2:$B$100,MATCH($B69,Employees!$A$2:$A$100,0)),0))</f>
        <v/>
      </c>
      <c r="E69" s="21" t="str">
        <f t="shared" si="6"/>
        <v/>
      </c>
      <c r="F69" s="14" t="str">
        <f>IF(OR(A69="",B69=""),"",SUMIFS(Timesheet!$K$2:$K$500,Timesheet!$B$2:$B$500,$A69,Timesheet!$C$2:$C$500,$B69))</f>
        <v/>
      </c>
      <c r="G69" s="14" t="str">
        <f>IF(OR(A69="",B69=""),"",SUMIFS(Purchases!$I$2:$I$500,Purchases!$B$2:$B$500,$A69,Purchases!$C$2:$C$500,$B69))</f>
        <v/>
      </c>
      <c r="H69" s="21" t="str">
        <f t="shared" si="7"/>
        <v/>
      </c>
      <c r="I69" s="21" t="str">
        <f t="shared" si="8"/>
        <v/>
      </c>
      <c r="J69" t="str">
        <f>IFERROR(INDEX(Employees!$C$2:$C$100,MATCH($B69,Employees!$A$2:$A$100,0)),"")</f>
        <v/>
      </c>
      <c r="K69">
        <f>IFERROR(INDEX(Employees!$D$2:$D$100,MATCH($B69,Employees!$A$2:$A$100,0)),0)</f>
        <v>0</v>
      </c>
      <c r="L69">
        <f>IFERROR(INDEX(Employees!$E$2:$E$100,MATCH($B69,Employees!$A$2:$A$100,0)),1)</f>
        <v>1</v>
      </c>
      <c r="M69">
        <f>IFERROR(INDEX(Employees!$F$2:$F$100,MATCH($B69,Employees!$A$2:$A$100,0)),1)</f>
        <v>1</v>
      </c>
    </row>
    <row r="70" spans="1:13">
      <c r="A70" s="5"/>
      <c r="B70" s="5"/>
      <c r="C70" s="13" t="str">
        <f>IF(OR(A70="",B70=""),"",SUMIFS(Timesheet!$I$2:$I$500,Timesheet!$B$2:$B$500,$A70,Timesheet!$C$2:$C$500,$B70))</f>
        <v/>
      </c>
      <c r="D70" s="14" t="str">
        <f>IF(B70="","",IFERROR(INDEX(Employees!$B$2:$B$100,MATCH($B70,Employees!$A$2:$A$100,0)),0))</f>
        <v/>
      </c>
      <c r="E70" s="21" t="str">
        <f t="shared" si="6"/>
        <v/>
      </c>
      <c r="F70" s="14" t="str">
        <f>IF(OR(A70="",B70=""),"",SUMIFS(Timesheet!$K$2:$K$500,Timesheet!$B$2:$B$500,$A70,Timesheet!$C$2:$C$500,$B70))</f>
        <v/>
      </c>
      <c r="G70" s="14" t="str">
        <f>IF(OR(A70="",B70=""),"",SUMIFS(Purchases!$I$2:$I$500,Purchases!$B$2:$B$500,$A70,Purchases!$C$2:$C$500,$B70))</f>
        <v/>
      </c>
      <c r="H70" s="21" t="str">
        <f t="shared" si="7"/>
        <v/>
      </c>
      <c r="I70" s="21" t="str">
        <f t="shared" si="8"/>
        <v/>
      </c>
      <c r="J70" t="str">
        <f>IFERROR(INDEX(Employees!$C$2:$C$100,MATCH($B70,Employees!$A$2:$A$100,0)),"")</f>
        <v/>
      </c>
      <c r="K70">
        <f>IFERROR(INDEX(Employees!$D$2:$D$100,MATCH($B70,Employees!$A$2:$A$100,0)),0)</f>
        <v>0</v>
      </c>
      <c r="L70">
        <f>IFERROR(INDEX(Employees!$E$2:$E$100,MATCH($B70,Employees!$A$2:$A$100,0)),1)</f>
        <v>1</v>
      </c>
      <c r="M70">
        <f>IFERROR(INDEX(Employees!$F$2:$F$100,MATCH($B70,Employees!$A$2:$A$100,0)),1)</f>
        <v>1</v>
      </c>
    </row>
    <row r="71" spans="1:13">
      <c r="A71" s="5"/>
      <c r="B71" s="5"/>
      <c r="C71" s="13" t="str">
        <f>IF(OR(A71="",B71=""),"",SUMIFS(Timesheet!$I$2:$I$500,Timesheet!$B$2:$B$500,$A71,Timesheet!$C$2:$C$500,$B71))</f>
        <v/>
      </c>
      <c r="D71" s="14" t="str">
        <f>IF(B71="","",IFERROR(INDEX(Employees!$B$2:$B$100,MATCH($B71,Employees!$A$2:$A$100,0)),0))</f>
        <v/>
      </c>
      <c r="E71" s="21" t="str">
        <f t="shared" si="6"/>
        <v/>
      </c>
      <c r="F71" s="14" t="str">
        <f>IF(OR(A71="",B71=""),"",SUMIFS(Timesheet!$K$2:$K$500,Timesheet!$B$2:$B$500,$A71,Timesheet!$C$2:$C$500,$B71))</f>
        <v/>
      </c>
      <c r="G71" s="14" t="str">
        <f>IF(OR(A71="",B71=""),"",SUMIFS(Purchases!$I$2:$I$500,Purchases!$B$2:$B$500,$A71,Purchases!$C$2:$C$500,$B71))</f>
        <v/>
      </c>
      <c r="H71" s="21" t="str">
        <f t="shared" si="7"/>
        <v/>
      </c>
      <c r="I71" s="21" t="str">
        <f t="shared" si="8"/>
        <v/>
      </c>
      <c r="J71" t="str">
        <f>IFERROR(INDEX(Employees!$C$2:$C$100,MATCH($B71,Employees!$A$2:$A$100,0)),"")</f>
        <v/>
      </c>
      <c r="K71">
        <f>IFERROR(INDEX(Employees!$D$2:$D$100,MATCH($B71,Employees!$A$2:$A$100,0)),0)</f>
        <v>0</v>
      </c>
      <c r="L71">
        <f>IFERROR(INDEX(Employees!$E$2:$E$100,MATCH($B71,Employees!$A$2:$A$100,0)),1)</f>
        <v>1</v>
      </c>
      <c r="M71">
        <f>IFERROR(INDEX(Employees!$F$2:$F$100,MATCH($B71,Employees!$A$2:$A$100,0)),1)</f>
        <v>1</v>
      </c>
    </row>
    <row r="72" spans="1:13">
      <c r="A72" s="5"/>
      <c r="B72" s="5"/>
      <c r="C72" s="13" t="str">
        <f>IF(OR(A72="",B72=""),"",SUMIFS(Timesheet!$I$2:$I$500,Timesheet!$B$2:$B$500,$A72,Timesheet!$C$2:$C$500,$B72))</f>
        <v/>
      </c>
      <c r="D72" s="14" t="str">
        <f>IF(B72="","",IFERROR(INDEX(Employees!$B$2:$B$100,MATCH($B72,Employees!$A$2:$A$100,0)),0))</f>
        <v/>
      </c>
      <c r="E72" s="21" t="str">
        <f t="shared" si="6"/>
        <v/>
      </c>
      <c r="F72" s="14" t="str">
        <f>IF(OR(A72="",B72=""),"",SUMIFS(Timesheet!$K$2:$K$500,Timesheet!$B$2:$B$500,$A72,Timesheet!$C$2:$C$500,$B72))</f>
        <v/>
      </c>
      <c r="G72" s="14" t="str">
        <f>IF(OR(A72="",B72=""),"",SUMIFS(Purchases!$I$2:$I$500,Purchases!$B$2:$B$500,$A72,Purchases!$C$2:$C$500,$B72))</f>
        <v/>
      </c>
      <c r="H72" s="21" t="str">
        <f t="shared" si="7"/>
        <v/>
      </c>
      <c r="I72" s="21" t="str">
        <f t="shared" si="8"/>
        <v/>
      </c>
      <c r="J72" t="str">
        <f>IFERROR(INDEX(Employees!$C$2:$C$100,MATCH($B72,Employees!$A$2:$A$100,0)),"")</f>
        <v/>
      </c>
      <c r="K72">
        <f>IFERROR(INDEX(Employees!$D$2:$D$100,MATCH($B72,Employees!$A$2:$A$100,0)),0)</f>
        <v>0</v>
      </c>
      <c r="L72">
        <f>IFERROR(INDEX(Employees!$E$2:$E$100,MATCH($B72,Employees!$A$2:$A$100,0)),1)</f>
        <v>1</v>
      </c>
      <c r="M72">
        <f>IFERROR(INDEX(Employees!$F$2:$F$100,MATCH($B72,Employees!$A$2:$A$100,0)),1)</f>
        <v>1</v>
      </c>
    </row>
    <row r="73" spans="1:13">
      <c r="A73" s="5"/>
      <c r="B73" s="5"/>
      <c r="C73" s="13" t="str">
        <f>IF(OR(A73="",B73=""),"",SUMIFS(Timesheet!$I$2:$I$500,Timesheet!$B$2:$B$500,$A73,Timesheet!$C$2:$C$500,$B73))</f>
        <v/>
      </c>
      <c r="D73" s="14" t="str">
        <f>IF(B73="","",IFERROR(INDEX(Employees!$B$2:$B$100,MATCH($B73,Employees!$A$2:$A$100,0)),0))</f>
        <v/>
      </c>
      <c r="E73" s="21" t="str">
        <f t="shared" si="6"/>
        <v/>
      </c>
      <c r="F73" s="14" t="str">
        <f>IF(OR(A73="",B73=""),"",SUMIFS(Timesheet!$K$2:$K$500,Timesheet!$B$2:$B$500,$A73,Timesheet!$C$2:$C$500,$B73))</f>
        <v/>
      </c>
      <c r="G73" s="14" t="str">
        <f>IF(OR(A73="",B73=""),"",SUMIFS(Purchases!$I$2:$I$500,Purchases!$B$2:$B$500,$A73,Purchases!$C$2:$C$500,$B73))</f>
        <v/>
      </c>
      <c r="H73" s="21" t="str">
        <f t="shared" si="7"/>
        <v/>
      </c>
      <c r="I73" s="21" t="str">
        <f t="shared" si="8"/>
        <v/>
      </c>
      <c r="J73" t="str">
        <f>IFERROR(INDEX(Employees!$C$2:$C$100,MATCH($B73,Employees!$A$2:$A$100,0)),"")</f>
        <v/>
      </c>
      <c r="K73">
        <f>IFERROR(INDEX(Employees!$D$2:$D$100,MATCH($B73,Employees!$A$2:$A$100,0)),0)</f>
        <v>0</v>
      </c>
      <c r="L73">
        <f>IFERROR(INDEX(Employees!$E$2:$E$100,MATCH($B73,Employees!$A$2:$A$100,0)),1)</f>
        <v>1</v>
      </c>
      <c r="M73">
        <f>IFERROR(INDEX(Employees!$F$2:$F$100,MATCH($B73,Employees!$A$2:$A$100,0)),1)</f>
        <v>1</v>
      </c>
    </row>
    <row r="74" spans="1:13">
      <c r="A74" s="5"/>
      <c r="B74" s="5"/>
      <c r="C74" s="13" t="str">
        <f>IF(OR(A74="",B74=""),"",SUMIFS(Timesheet!$I$2:$I$500,Timesheet!$B$2:$B$500,$A74,Timesheet!$C$2:$C$500,$B74))</f>
        <v/>
      </c>
      <c r="D74" s="14" t="str">
        <f>IF(B74="","",IFERROR(INDEX(Employees!$B$2:$B$100,MATCH($B74,Employees!$A$2:$A$100,0)),0))</f>
        <v/>
      </c>
      <c r="E74" s="21" t="str">
        <f t="shared" si="6"/>
        <v/>
      </c>
      <c r="F74" s="14" t="str">
        <f>IF(OR(A74="",B74=""),"",SUMIFS(Timesheet!$K$2:$K$500,Timesheet!$B$2:$B$500,$A74,Timesheet!$C$2:$C$500,$B74))</f>
        <v/>
      </c>
      <c r="G74" s="14" t="str">
        <f>IF(OR(A74="",B74=""),"",SUMIFS(Purchases!$I$2:$I$500,Purchases!$B$2:$B$500,$A74,Purchases!$C$2:$C$500,$B74))</f>
        <v/>
      </c>
      <c r="H74" s="21" t="str">
        <f t="shared" si="7"/>
        <v/>
      </c>
      <c r="I74" s="21" t="str">
        <f t="shared" si="8"/>
        <v/>
      </c>
      <c r="J74" t="str">
        <f>IFERROR(INDEX(Employees!$C$2:$C$100,MATCH($B74,Employees!$A$2:$A$100,0)),"")</f>
        <v/>
      </c>
      <c r="K74">
        <f>IFERROR(INDEX(Employees!$D$2:$D$100,MATCH($B74,Employees!$A$2:$A$100,0)),0)</f>
        <v>0</v>
      </c>
      <c r="L74">
        <f>IFERROR(INDEX(Employees!$E$2:$E$100,MATCH($B74,Employees!$A$2:$A$100,0)),1)</f>
        <v>1</v>
      </c>
      <c r="M74">
        <f>IFERROR(INDEX(Employees!$F$2:$F$100,MATCH($B74,Employees!$A$2:$A$100,0)),1)</f>
        <v>1</v>
      </c>
    </row>
    <row r="75" spans="1:13">
      <c r="A75" s="5"/>
      <c r="B75" s="5"/>
      <c r="C75" s="13" t="str">
        <f>IF(OR(A75="",B75=""),"",SUMIFS(Timesheet!$I$2:$I$500,Timesheet!$B$2:$B$500,$A75,Timesheet!$C$2:$C$500,$B75))</f>
        <v/>
      </c>
      <c r="D75" s="14" t="str">
        <f>IF(B75="","",IFERROR(INDEX(Employees!$B$2:$B$100,MATCH($B75,Employees!$A$2:$A$100,0)),0))</f>
        <v/>
      </c>
      <c r="E75" s="21" t="str">
        <f t="shared" si="6"/>
        <v/>
      </c>
      <c r="F75" s="14" t="str">
        <f>IF(OR(A75="",B75=""),"",SUMIFS(Timesheet!$K$2:$K$500,Timesheet!$B$2:$B$500,$A75,Timesheet!$C$2:$C$500,$B75))</f>
        <v/>
      </c>
      <c r="G75" s="14" t="str">
        <f>IF(OR(A75="",B75=""),"",SUMIFS(Purchases!$I$2:$I$500,Purchases!$B$2:$B$500,$A75,Purchases!$C$2:$C$500,$B75))</f>
        <v/>
      </c>
      <c r="H75" s="21" t="str">
        <f t="shared" si="7"/>
        <v/>
      </c>
      <c r="I75" s="21" t="str">
        <f t="shared" si="8"/>
        <v/>
      </c>
      <c r="J75" t="str">
        <f>IFERROR(INDEX(Employees!$C$2:$C$100,MATCH($B75,Employees!$A$2:$A$100,0)),"")</f>
        <v/>
      </c>
      <c r="K75">
        <f>IFERROR(INDEX(Employees!$D$2:$D$100,MATCH($B75,Employees!$A$2:$A$100,0)),0)</f>
        <v>0</v>
      </c>
      <c r="L75">
        <f>IFERROR(INDEX(Employees!$E$2:$E$100,MATCH($B75,Employees!$A$2:$A$100,0)),1)</f>
        <v>1</v>
      </c>
      <c r="M75">
        <f>IFERROR(INDEX(Employees!$F$2:$F$100,MATCH($B75,Employees!$A$2:$A$100,0)),1)</f>
        <v>1</v>
      </c>
    </row>
    <row r="76" spans="1:13">
      <c r="A76" s="5"/>
      <c r="B76" s="5"/>
      <c r="C76" s="13" t="str">
        <f>IF(OR(A76="",B76=""),"",SUMIFS(Timesheet!$I$2:$I$500,Timesheet!$B$2:$B$500,$A76,Timesheet!$C$2:$C$500,$B76))</f>
        <v/>
      </c>
      <c r="D76" s="14" t="str">
        <f>IF(B76="","",IFERROR(INDEX(Employees!$B$2:$B$100,MATCH($B76,Employees!$A$2:$A$100,0)),0))</f>
        <v/>
      </c>
      <c r="E76" s="21" t="str">
        <f t="shared" si="6"/>
        <v/>
      </c>
      <c r="F76" s="14" t="str">
        <f>IF(OR(A76="",B76=""),"",SUMIFS(Timesheet!$K$2:$K$500,Timesheet!$B$2:$B$500,$A76,Timesheet!$C$2:$C$500,$B76))</f>
        <v/>
      </c>
      <c r="G76" s="14" t="str">
        <f>IF(OR(A76="",B76=""),"",SUMIFS(Purchases!$I$2:$I$500,Purchases!$B$2:$B$500,$A76,Purchases!$C$2:$C$500,$B76))</f>
        <v/>
      </c>
      <c r="H76" s="21" t="str">
        <f t="shared" si="7"/>
        <v/>
      </c>
      <c r="I76" s="21" t="str">
        <f t="shared" si="8"/>
        <v/>
      </c>
      <c r="J76" t="str">
        <f>IFERROR(INDEX(Employees!$C$2:$C$100,MATCH($B76,Employees!$A$2:$A$100,0)),"")</f>
        <v/>
      </c>
      <c r="K76">
        <f>IFERROR(INDEX(Employees!$D$2:$D$100,MATCH($B76,Employees!$A$2:$A$100,0)),0)</f>
        <v>0</v>
      </c>
      <c r="L76">
        <f>IFERROR(INDEX(Employees!$E$2:$E$100,MATCH($B76,Employees!$A$2:$A$100,0)),1)</f>
        <v>1</v>
      </c>
      <c r="M76">
        <f>IFERROR(INDEX(Employees!$F$2:$F$100,MATCH($B76,Employees!$A$2:$A$100,0)),1)</f>
        <v>1</v>
      </c>
    </row>
    <row r="77" spans="1:13">
      <c r="A77" s="5"/>
      <c r="B77" s="5"/>
      <c r="C77" s="13" t="str">
        <f>IF(OR(A77="",B77=""),"",SUMIFS(Timesheet!$I$2:$I$500,Timesheet!$B$2:$B$500,$A77,Timesheet!$C$2:$C$500,$B77))</f>
        <v/>
      </c>
      <c r="D77" s="14" t="str">
        <f>IF(B77="","",IFERROR(INDEX(Employees!$B$2:$B$100,MATCH($B77,Employees!$A$2:$A$100,0)),0))</f>
        <v/>
      </c>
      <c r="E77" s="21" t="str">
        <f t="shared" si="6"/>
        <v/>
      </c>
      <c r="F77" s="14" t="str">
        <f>IF(OR(A77="",B77=""),"",SUMIFS(Timesheet!$K$2:$K$500,Timesheet!$B$2:$B$500,$A77,Timesheet!$C$2:$C$500,$B77))</f>
        <v/>
      </c>
      <c r="G77" s="14" t="str">
        <f>IF(OR(A77="",B77=""),"",SUMIFS(Purchases!$I$2:$I$500,Purchases!$B$2:$B$500,$A77,Purchases!$C$2:$C$500,$B77))</f>
        <v/>
      </c>
      <c r="H77" s="21" t="str">
        <f t="shared" si="7"/>
        <v/>
      </c>
      <c r="I77" s="21" t="str">
        <f t="shared" si="8"/>
        <v/>
      </c>
      <c r="J77" t="str">
        <f>IFERROR(INDEX(Employees!$C$2:$C$100,MATCH($B77,Employees!$A$2:$A$100,0)),"")</f>
        <v/>
      </c>
      <c r="K77">
        <f>IFERROR(INDEX(Employees!$D$2:$D$100,MATCH($B77,Employees!$A$2:$A$100,0)),0)</f>
        <v>0</v>
      </c>
      <c r="L77">
        <f>IFERROR(INDEX(Employees!$E$2:$E$100,MATCH($B77,Employees!$A$2:$A$100,0)),1)</f>
        <v>1</v>
      </c>
      <c r="M77">
        <f>IFERROR(INDEX(Employees!$F$2:$F$100,MATCH($B77,Employees!$A$2:$A$100,0)),1)</f>
        <v>1</v>
      </c>
    </row>
    <row r="78" spans="1:13">
      <c r="A78" s="5"/>
      <c r="B78" s="5"/>
      <c r="C78" s="13" t="str">
        <f>IF(OR(A78="",B78=""),"",SUMIFS(Timesheet!$I$2:$I$500,Timesheet!$B$2:$B$500,$A78,Timesheet!$C$2:$C$500,$B78))</f>
        <v/>
      </c>
      <c r="D78" s="14" t="str">
        <f>IF(B78="","",IFERROR(INDEX(Employees!$B$2:$B$100,MATCH($B78,Employees!$A$2:$A$100,0)),0))</f>
        <v/>
      </c>
      <c r="E78" s="21" t="str">
        <f t="shared" si="6"/>
        <v/>
      </c>
      <c r="F78" s="14" t="str">
        <f>IF(OR(A78="",B78=""),"",SUMIFS(Timesheet!$K$2:$K$500,Timesheet!$B$2:$B$500,$A78,Timesheet!$C$2:$C$500,$B78))</f>
        <v/>
      </c>
      <c r="G78" s="14" t="str">
        <f>IF(OR(A78="",B78=""),"",SUMIFS(Purchases!$I$2:$I$500,Purchases!$B$2:$B$500,$A78,Purchases!$C$2:$C$500,$B78))</f>
        <v/>
      </c>
      <c r="H78" s="21" t="str">
        <f t="shared" si="7"/>
        <v/>
      </c>
      <c r="I78" s="21" t="str">
        <f t="shared" si="8"/>
        <v/>
      </c>
      <c r="J78" t="str">
        <f>IFERROR(INDEX(Employees!$C$2:$C$100,MATCH($B78,Employees!$A$2:$A$100,0)),"")</f>
        <v/>
      </c>
      <c r="K78">
        <f>IFERROR(INDEX(Employees!$D$2:$D$100,MATCH($B78,Employees!$A$2:$A$100,0)),0)</f>
        <v>0</v>
      </c>
      <c r="L78">
        <f>IFERROR(INDEX(Employees!$E$2:$E$100,MATCH($B78,Employees!$A$2:$A$100,0)),1)</f>
        <v>1</v>
      </c>
      <c r="M78">
        <f>IFERROR(INDEX(Employees!$F$2:$F$100,MATCH($B78,Employees!$A$2:$A$100,0)),1)</f>
        <v>1</v>
      </c>
    </row>
    <row r="79" spans="1:13">
      <c r="A79" s="5"/>
      <c r="B79" s="5"/>
      <c r="C79" s="13" t="str">
        <f>IF(OR(A79="",B79=""),"",SUMIFS(Timesheet!$I$2:$I$500,Timesheet!$B$2:$B$500,$A79,Timesheet!$C$2:$C$500,$B79))</f>
        <v/>
      </c>
      <c r="D79" s="14" t="str">
        <f>IF(B79="","",IFERROR(INDEX(Employees!$B$2:$B$100,MATCH($B79,Employees!$A$2:$A$100,0)),0))</f>
        <v/>
      </c>
      <c r="E79" s="21" t="str">
        <f t="shared" si="6"/>
        <v/>
      </c>
      <c r="F79" s="14" t="str">
        <f>IF(OR(A79="",B79=""),"",SUMIFS(Timesheet!$K$2:$K$500,Timesheet!$B$2:$B$500,$A79,Timesheet!$C$2:$C$500,$B79))</f>
        <v/>
      </c>
      <c r="G79" s="14" t="str">
        <f>IF(OR(A79="",B79=""),"",SUMIFS(Purchases!$I$2:$I$500,Purchases!$B$2:$B$500,$A79,Purchases!$C$2:$C$500,$B79))</f>
        <v/>
      </c>
      <c r="H79" s="21" t="str">
        <f t="shared" si="7"/>
        <v/>
      </c>
      <c r="I79" s="21" t="str">
        <f t="shared" si="8"/>
        <v/>
      </c>
      <c r="J79" t="str">
        <f>IFERROR(INDEX(Employees!$C$2:$C$100,MATCH($B79,Employees!$A$2:$A$100,0)),"")</f>
        <v/>
      </c>
      <c r="K79">
        <f>IFERROR(INDEX(Employees!$D$2:$D$100,MATCH($B79,Employees!$A$2:$A$100,0)),0)</f>
        <v>0</v>
      </c>
      <c r="L79">
        <f>IFERROR(INDEX(Employees!$E$2:$E$100,MATCH($B79,Employees!$A$2:$A$100,0)),1)</f>
        <v>1</v>
      </c>
      <c r="M79">
        <f>IFERROR(INDEX(Employees!$F$2:$F$100,MATCH($B79,Employees!$A$2:$A$100,0)),1)</f>
        <v>1</v>
      </c>
    </row>
    <row r="80" spans="1:13">
      <c r="A80" s="5"/>
      <c r="B80" s="5"/>
      <c r="C80" s="13" t="str">
        <f>IF(OR(A80="",B80=""),"",SUMIFS(Timesheet!$I$2:$I$500,Timesheet!$B$2:$B$500,$A80,Timesheet!$C$2:$C$500,$B80))</f>
        <v/>
      </c>
      <c r="D80" s="14" t="str">
        <f>IF(B80="","",IFERROR(INDEX(Employees!$B$2:$B$100,MATCH($B80,Employees!$A$2:$A$100,0)),0))</f>
        <v/>
      </c>
      <c r="E80" s="21" t="str">
        <f t="shared" si="6"/>
        <v/>
      </c>
      <c r="F80" s="14" t="str">
        <f>IF(OR(A80="",B80=""),"",SUMIFS(Timesheet!$K$2:$K$500,Timesheet!$B$2:$B$500,$A80,Timesheet!$C$2:$C$500,$B80))</f>
        <v/>
      </c>
      <c r="G80" s="14" t="str">
        <f>IF(OR(A80="",B80=""),"",SUMIFS(Purchases!$I$2:$I$500,Purchases!$B$2:$B$500,$A80,Purchases!$C$2:$C$500,$B80))</f>
        <v/>
      </c>
      <c r="H80" s="21" t="str">
        <f t="shared" si="7"/>
        <v/>
      </c>
      <c r="I80" s="21" t="str">
        <f t="shared" si="8"/>
        <v/>
      </c>
      <c r="J80" t="str">
        <f>IFERROR(INDEX(Employees!$C$2:$C$100,MATCH($B80,Employees!$A$2:$A$100,0)),"")</f>
        <v/>
      </c>
      <c r="K80">
        <f>IFERROR(INDEX(Employees!$D$2:$D$100,MATCH($B80,Employees!$A$2:$A$100,0)),0)</f>
        <v>0</v>
      </c>
      <c r="L80">
        <f>IFERROR(INDEX(Employees!$E$2:$E$100,MATCH($B80,Employees!$A$2:$A$100,0)),1)</f>
        <v>1</v>
      </c>
      <c r="M80">
        <f>IFERROR(INDEX(Employees!$F$2:$F$100,MATCH($B80,Employees!$A$2:$A$100,0)),1)</f>
        <v>1</v>
      </c>
    </row>
    <row r="81" spans="1:13">
      <c r="A81" s="5"/>
      <c r="B81" s="5"/>
      <c r="C81" s="13" t="str">
        <f>IF(OR(A81="",B81=""),"",SUMIFS(Timesheet!$I$2:$I$500,Timesheet!$B$2:$B$500,$A81,Timesheet!$C$2:$C$500,$B81))</f>
        <v/>
      </c>
      <c r="D81" s="14" t="str">
        <f>IF(B81="","",IFERROR(INDEX(Employees!$B$2:$B$100,MATCH($B81,Employees!$A$2:$A$100,0)),0))</f>
        <v/>
      </c>
      <c r="E81" s="21" t="str">
        <f t="shared" si="6"/>
        <v/>
      </c>
      <c r="F81" s="14" t="str">
        <f>IF(OR(A81="",B81=""),"",SUMIFS(Timesheet!$K$2:$K$500,Timesheet!$B$2:$B$500,$A81,Timesheet!$C$2:$C$500,$B81))</f>
        <v/>
      </c>
      <c r="G81" s="14" t="str">
        <f>IF(OR(A81="",B81=""),"",SUMIFS(Purchases!$I$2:$I$500,Purchases!$B$2:$B$500,$A81,Purchases!$C$2:$C$500,$B81))</f>
        <v/>
      </c>
      <c r="H81" s="21" t="str">
        <f t="shared" si="7"/>
        <v/>
      </c>
      <c r="I81" s="21" t="str">
        <f t="shared" si="8"/>
        <v/>
      </c>
      <c r="J81" t="str">
        <f>IFERROR(INDEX(Employees!$C$2:$C$100,MATCH($B81,Employees!$A$2:$A$100,0)),"")</f>
        <v/>
      </c>
      <c r="K81">
        <f>IFERROR(INDEX(Employees!$D$2:$D$100,MATCH($B81,Employees!$A$2:$A$100,0)),0)</f>
        <v>0</v>
      </c>
      <c r="L81">
        <f>IFERROR(INDEX(Employees!$E$2:$E$100,MATCH($B81,Employees!$A$2:$A$100,0)),1)</f>
        <v>1</v>
      </c>
      <c r="M81">
        <f>IFERROR(INDEX(Employees!$F$2:$F$100,MATCH($B81,Employees!$A$2:$A$100,0)),1)</f>
        <v>1</v>
      </c>
    </row>
    <row r="82" spans="1:13">
      <c r="A82" s="5"/>
      <c r="B82" s="5"/>
      <c r="C82" s="13" t="str">
        <f>IF(OR(A82="",B82=""),"",SUMIFS(Timesheet!$I$2:$I$500,Timesheet!$B$2:$B$500,$A82,Timesheet!$C$2:$C$500,$B82))</f>
        <v/>
      </c>
      <c r="D82" s="14" t="str">
        <f>IF(B82="","",IFERROR(INDEX(Employees!$B$2:$B$100,MATCH($B82,Employees!$A$2:$A$100,0)),0))</f>
        <v/>
      </c>
      <c r="E82" s="21" t="str">
        <f t="shared" si="6"/>
        <v/>
      </c>
      <c r="F82" s="14" t="str">
        <f>IF(OR(A82="",B82=""),"",SUMIFS(Timesheet!$K$2:$K$500,Timesheet!$B$2:$B$500,$A82,Timesheet!$C$2:$C$500,$B82))</f>
        <v/>
      </c>
      <c r="G82" s="14" t="str">
        <f>IF(OR(A82="",B82=""),"",SUMIFS(Purchases!$I$2:$I$500,Purchases!$B$2:$B$500,$A82,Purchases!$C$2:$C$500,$B82))</f>
        <v/>
      </c>
      <c r="H82" s="21" t="str">
        <f t="shared" si="7"/>
        <v/>
      </c>
      <c r="I82" s="21" t="str">
        <f t="shared" si="8"/>
        <v/>
      </c>
      <c r="J82" t="str">
        <f>IFERROR(INDEX(Employees!$C$2:$C$100,MATCH($B82,Employees!$A$2:$A$100,0)),"")</f>
        <v/>
      </c>
      <c r="K82">
        <f>IFERROR(INDEX(Employees!$D$2:$D$100,MATCH($B82,Employees!$A$2:$A$100,0)),0)</f>
        <v>0</v>
      </c>
      <c r="L82">
        <f>IFERROR(INDEX(Employees!$E$2:$E$100,MATCH($B82,Employees!$A$2:$A$100,0)),1)</f>
        <v>1</v>
      </c>
      <c r="M82">
        <f>IFERROR(INDEX(Employees!$F$2:$F$100,MATCH($B82,Employees!$A$2:$A$100,0)),1)</f>
        <v>1</v>
      </c>
    </row>
    <row r="83" spans="1:13">
      <c r="A83" s="5"/>
      <c r="B83" s="5"/>
      <c r="C83" s="13" t="str">
        <f>IF(OR(A83="",B83=""),"",SUMIFS(Timesheet!$I$2:$I$500,Timesheet!$B$2:$B$500,$A83,Timesheet!$C$2:$C$500,$B83))</f>
        <v/>
      </c>
      <c r="D83" s="14" t="str">
        <f>IF(B83="","",IFERROR(INDEX(Employees!$B$2:$B$100,MATCH($B83,Employees!$A$2:$A$100,0)),0))</f>
        <v/>
      </c>
      <c r="E83" s="21" t="str">
        <f t="shared" si="6"/>
        <v/>
      </c>
      <c r="F83" s="14" t="str">
        <f>IF(OR(A83="",B83=""),"",SUMIFS(Timesheet!$K$2:$K$500,Timesheet!$B$2:$B$500,$A83,Timesheet!$C$2:$C$500,$B83))</f>
        <v/>
      </c>
      <c r="G83" s="14" t="str">
        <f>IF(OR(A83="",B83=""),"",SUMIFS(Purchases!$I$2:$I$500,Purchases!$B$2:$B$500,$A83,Purchases!$C$2:$C$500,$B83))</f>
        <v/>
      </c>
      <c r="H83" s="21" t="str">
        <f t="shared" si="7"/>
        <v/>
      </c>
      <c r="I83" s="21" t="str">
        <f t="shared" si="8"/>
        <v/>
      </c>
      <c r="J83" t="str">
        <f>IFERROR(INDEX(Employees!$C$2:$C$100,MATCH($B83,Employees!$A$2:$A$100,0)),"")</f>
        <v/>
      </c>
      <c r="K83">
        <f>IFERROR(INDEX(Employees!$D$2:$D$100,MATCH($B83,Employees!$A$2:$A$100,0)),0)</f>
        <v>0</v>
      </c>
      <c r="L83">
        <f>IFERROR(INDEX(Employees!$E$2:$E$100,MATCH($B83,Employees!$A$2:$A$100,0)),1)</f>
        <v>1</v>
      </c>
      <c r="M83">
        <f>IFERROR(INDEX(Employees!$F$2:$F$100,MATCH($B83,Employees!$A$2:$A$100,0)),1)</f>
        <v>1</v>
      </c>
    </row>
    <row r="84" spans="1:13">
      <c r="A84" s="5"/>
      <c r="B84" s="5"/>
      <c r="C84" s="13" t="str">
        <f>IF(OR(A84="",B84=""),"",SUMIFS(Timesheet!$I$2:$I$500,Timesheet!$B$2:$B$500,$A84,Timesheet!$C$2:$C$500,$B84))</f>
        <v/>
      </c>
      <c r="D84" s="14" t="str">
        <f>IF(B84="","",IFERROR(INDEX(Employees!$B$2:$B$100,MATCH($B84,Employees!$A$2:$A$100,0)),0))</f>
        <v/>
      </c>
      <c r="E84" s="21" t="str">
        <f t="shared" si="6"/>
        <v/>
      </c>
      <c r="F84" s="14" t="str">
        <f>IF(OR(A84="",B84=""),"",SUMIFS(Timesheet!$K$2:$K$500,Timesheet!$B$2:$B$500,$A84,Timesheet!$C$2:$C$500,$B84))</f>
        <v/>
      </c>
      <c r="G84" s="14" t="str">
        <f>IF(OR(A84="",B84=""),"",SUMIFS(Purchases!$I$2:$I$500,Purchases!$B$2:$B$500,$A84,Purchases!$C$2:$C$500,$B84))</f>
        <v/>
      </c>
      <c r="H84" s="21" t="str">
        <f t="shared" si="7"/>
        <v/>
      </c>
      <c r="I84" s="21" t="str">
        <f t="shared" si="8"/>
        <v/>
      </c>
      <c r="J84" t="str">
        <f>IFERROR(INDEX(Employees!$C$2:$C$100,MATCH($B84,Employees!$A$2:$A$100,0)),"")</f>
        <v/>
      </c>
      <c r="K84">
        <f>IFERROR(INDEX(Employees!$D$2:$D$100,MATCH($B84,Employees!$A$2:$A$100,0)),0)</f>
        <v>0</v>
      </c>
      <c r="L84">
        <f>IFERROR(INDEX(Employees!$E$2:$E$100,MATCH($B84,Employees!$A$2:$A$100,0)),1)</f>
        <v>1</v>
      </c>
      <c r="M84">
        <f>IFERROR(INDEX(Employees!$F$2:$F$100,MATCH($B84,Employees!$A$2:$A$100,0)),1)</f>
        <v>1</v>
      </c>
    </row>
    <row r="85" spans="1:13">
      <c r="A85" s="5"/>
      <c r="B85" s="5"/>
      <c r="C85" s="13" t="str">
        <f>IF(OR(A85="",B85=""),"",SUMIFS(Timesheet!$I$2:$I$500,Timesheet!$B$2:$B$500,$A85,Timesheet!$C$2:$C$500,$B85))</f>
        <v/>
      </c>
      <c r="D85" s="14" t="str">
        <f>IF(B85="","",IFERROR(INDEX(Employees!$B$2:$B$100,MATCH($B85,Employees!$A$2:$A$100,0)),0))</f>
        <v/>
      </c>
      <c r="E85" s="21" t="str">
        <f t="shared" si="6"/>
        <v/>
      </c>
      <c r="F85" s="14" t="str">
        <f>IF(OR(A85="",B85=""),"",SUMIFS(Timesheet!$K$2:$K$500,Timesheet!$B$2:$B$500,$A85,Timesheet!$C$2:$C$500,$B85))</f>
        <v/>
      </c>
      <c r="G85" s="14" t="str">
        <f>IF(OR(A85="",B85=""),"",SUMIFS(Purchases!$I$2:$I$500,Purchases!$B$2:$B$500,$A85,Purchases!$C$2:$C$500,$B85))</f>
        <v/>
      </c>
      <c r="H85" s="21" t="str">
        <f t="shared" si="7"/>
        <v/>
      </c>
      <c r="I85" s="21" t="str">
        <f t="shared" si="8"/>
        <v/>
      </c>
      <c r="J85" t="str">
        <f>IFERROR(INDEX(Employees!$C$2:$C$100,MATCH($B85,Employees!$A$2:$A$100,0)),"")</f>
        <v/>
      </c>
      <c r="K85">
        <f>IFERROR(INDEX(Employees!$D$2:$D$100,MATCH($B85,Employees!$A$2:$A$100,0)),0)</f>
        <v>0</v>
      </c>
      <c r="L85">
        <f>IFERROR(INDEX(Employees!$E$2:$E$100,MATCH($B85,Employees!$A$2:$A$100,0)),1)</f>
        <v>1</v>
      </c>
      <c r="M85">
        <f>IFERROR(INDEX(Employees!$F$2:$F$100,MATCH($B85,Employees!$A$2:$A$100,0)),1)</f>
        <v>1</v>
      </c>
    </row>
    <row r="86" spans="1:13">
      <c r="A86" s="5"/>
      <c r="B86" s="5"/>
      <c r="C86" s="13" t="str">
        <f>IF(OR(A86="",B86=""),"",SUMIFS(Timesheet!$I$2:$I$500,Timesheet!$B$2:$B$500,$A86,Timesheet!$C$2:$C$500,$B86))</f>
        <v/>
      </c>
      <c r="D86" s="14" t="str">
        <f>IF(B86="","",IFERROR(INDEX(Employees!$B$2:$B$100,MATCH($B86,Employees!$A$2:$A$100,0)),0))</f>
        <v/>
      </c>
      <c r="E86" s="21" t="str">
        <f t="shared" si="6"/>
        <v/>
      </c>
      <c r="F86" s="14" t="str">
        <f>IF(OR(A86="",B86=""),"",SUMIFS(Timesheet!$K$2:$K$500,Timesheet!$B$2:$B$500,$A86,Timesheet!$C$2:$C$500,$B86))</f>
        <v/>
      </c>
      <c r="G86" s="14" t="str">
        <f>IF(OR(A86="",B86=""),"",SUMIFS(Purchases!$I$2:$I$500,Purchases!$B$2:$B$500,$A86,Purchases!$C$2:$C$500,$B86))</f>
        <v/>
      </c>
      <c r="H86" s="21" t="str">
        <f t="shared" si="7"/>
        <v/>
      </c>
      <c r="I86" s="21" t="str">
        <f t="shared" si="8"/>
        <v/>
      </c>
      <c r="J86" t="str">
        <f>IFERROR(INDEX(Employees!$C$2:$C$100,MATCH($B86,Employees!$A$2:$A$100,0)),"")</f>
        <v/>
      </c>
      <c r="K86">
        <f>IFERROR(INDEX(Employees!$D$2:$D$100,MATCH($B86,Employees!$A$2:$A$100,0)),0)</f>
        <v>0</v>
      </c>
      <c r="L86">
        <f>IFERROR(INDEX(Employees!$E$2:$E$100,MATCH($B86,Employees!$A$2:$A$100,0)),1)</f>
        <v>1</v>
      </c>
      <c r="M86">
        <f>IFERROR(INDEX(Employees!$F$2:$F$100,MATCH($B86,Employees!$A$2:$A$100,0)),1)</f>
        <v>1</v>
      </c>
    </row>
    <row r="87" spans="1:13">
      <c r="A87" s="5"/>
      <c r="B87" s="5"/>
      <c r="C87" s="13" t="str">
        <f>IF(OR(A87="",B87=""),"",SUMIFS(Timesheet!$I$2:$I$500,Timesheet!$B$2:$B$500,$A87,Timesheet!$C$2:$C$500,$B87))</f>
        <v/>
      </c>
      <c r="D87" s="14" t="str">
        <f>IF(B87="","",IFERROR(INDEX(Employees!$B$2:$B$100,MATCH($B87,Employees!$A$2:$A$100,0)),0))</f>
        <v/>
      </c>
      <c r="E87" s="21" t="str">
        <f t="shared" si="6"/>
        <v/>
      </c>
      <c r="F87" s="14" t="str">
        <f>IF(OR(A87="",B87=""),"",SUMIFS(Timesheet!$K$2:$K$500,Timesheet!$B$2:$B$500,$A87,Timesheet!$C$2:$C$500,$B87))</f>
        <v/>
      </c>
      <c r="G87" s="14" t="str">
        <f>IF(OR(A87="",B87=""),"",SUMIFS(Purchases!$I$2:$I$500,Purchases!$B$2:$B$500,$A87,Purchases!$C$2:$C$500,$B87))</f>
        <v/>
      </c>
      <c r="H87" s="21" t="str">
        <f t="shared" si="7"/>
        <v/>
      </c>
      <c r="I87" s="21" t="str">
        <f t="shared" si="8"/>
        <v/>
      </c>
      <c r="J87" t="str">
        <f>IFERROR(INDEX(Employees!$C$2:$C$100,MATCH($B87,Employees!$A$2:$A$100,0)),"")</f>
        <v/>
      </c>
      <c r="K87">
        <f>IFERROR(INDEX(Employees!$D$2:$D$100,MATCH($B87,Employees!$A$2:$A$100,0)),0)</f>
        <v>0</v>
      </c>
      <c r="L87">
        <f>IFERROR(INDEX(Employees!$E$2:$E$100,MATCH($B87,Employees!$A$2:$A$100,0)),1)</f>
        <v>1</v>
      </c>
      <c r="M87">
        <f>IFERROR(INDEX(Employees!$F$2:$F$100,MATCH($B87,Employees!$A$2:$A$100,0)),1)</f>
        <v>1</v>
      </c>
    </row>
    <row r="88" spans="1:13">
      <c r="A88" s="5"/>
      <c r="B88" s="5"/>
      <c r="C88" s="13" t="str">
        <f>IF(OR(A88="",B88=""),"",SUMIFS(Timesheet!$I$2:$I$500,Timesheet!$B$2:$B$500,$A88,Timesheet!$C$2:$C$500,$B88))</f>
        <v/>
      </c>
      <c r="D88" s="14" t="str">
        <f>IF(B88="","",IFERROR(INDEX(Employees!$B$2:$B$100,MATCH($B88,Employees!$A$2:$A$100,0)),0))</f>
        <v/>
      </c>
      <c r="E88" s="21" t="str">
        <f t="shared" si="6"/>
        <v/>
      </c>
      <c r="F88" s="14" t="str">
        <f>IF(OR(A88="",B88=""),"",SUMIFS(Timesheet!$K$2:$K$500,Timesheet!$B$2:$B$500,$A88,Timesheet!$C$2:$C$500,$B88))</f>
        <v/>
      </c>
      <c r="G88" s="14" t="str">
        <f>IF(OR(A88="",B88=""),"",SUMIFS(Purchases!$I$2:$I$500,Purchases!$B$2:$B$500,$A88,Purchases!$C$2:$C$500,$B88))</f>
        <v/>
      </c>
      <c r="H88" s="21" t="str">
        <f t="shared" si="7"/>
        <v/>
      </c>
      <c r="I88" s="21" t="str">
        <f t="shared" si="8"/>
        <v/>
      </c>
      <c r="J88" t="str">
        <f>IFERROR(INDEX(Employees!$C$2:$C$100,MATCH($B88,Employees!$A$2:$A$100,0)),"")</f>
        <v/>
      </c>
      <c r="K88">
        <f>IFERROR(INDEX(Employees!$D$2:$D$100,MATCH($B88,Employees!$A$2:$A$100,0)),0)</f>
        <v>0</v>
      </c>
      <c r="L88">
        <f>IFERROR(INDEX(Employees!$E$2:$E$100,MATCH($B88,Employees!$A$2:$A$100,0)),1)</f>
        <v>1</v>
      </c>
      <c r="M88">
        <f>IFERROR(INDEX(Employees!$F$2:$F$100,MATCH($B88,Employees!$A$2:$A$100,0)),1)</f>
        <v>1</v>
      </c>
    </row>
    <row r="89" spans="1:13">
      <c r="A89" s="5"/>
      <c r="B89" s="5"/>
      <c r="C89" s="13" t="str">
        <f>IF(OR(A89="",B89=""),"",SUMIFS(Timesheet!$I$2:$I$500,Timesheet!$B$2:$B$500,$A89,Timesheet!$C$2:$C$500,$B89))</f>
        <v/>
      </c>
      <c r="D89" s="14" t="str">
        <f>IF(B89="","",IFERROR(INDEX(Employees!$B$2:$B$100,MATCH($B89,Employees!$A$2:$A$100,0)),0))</f>
        <v/>
      </c>
      <c r="E89" s="21" t="str">
        <f t="shared" si="6"/>
        <v/>
      </c>
      <c r="F89" s="14" t="str">
        <f>IF(OR(A89="",B89=""),"",SUMIFS(Timesheet!$K$2:$K$500,Timesheet!$B$2:$B$500,$A89,Timesheet!$C$2:$C$500,$B89))</f>
        <v/>
      </c>
      <c r="G89" s="14" t="str">
        <f>IF(OR(A89="",B89=""),"",SUMIFS(Purchases!$I$2:$I$500,Purchases!$B$2:$B$500,$A89,Purchases!$C$2:$C$500,$B89))</f>
        <v/>
      </c>
      <c r="H89" s="21" t="str">
        <f t="shared" si="7"/>
        <v/>
      </c>
      <c r="I89" s="21" t="str">
        <f t="shared" si="8"/>
        <v/>
      </c>
      <c r="J89" t="str">
        <f>IFERROR(INDEX(Employees!$C$2:$C$100,MATCH($B89,Employees!$A$2:$A$100,0)),"")</f>
        <v/>
      </c>
      <c r="K89">
        <f>IFERROR(INDEX(Employees!$D$2:$D$100,MATCH($B89,Employees!$A$2:$A$100,0)),0)</f>
        <v>0</v>
      </c>
      <c r="L89">
        <f>IFERROR(INDEX(Employees!$E$2:$E$100,MATCH($B89,Employees!$A$2:$A$100,0)),1)</f>
        <v>1</v>
      </c>
      <c r="M89">
        <f>IFERROR(INDEX(Employees!$F$2:$F$100,MATCH($B89,Employees!$A$2:$A$100,0)),1)</f>
        <v>1</v>
      </c>
    </row>
    <row r="90" spans="1:13">
      <c r="A90" s="5"/>
      <c r="B90" s="5"/>
      <c r="C90" s="13" t="str">
        <f>IF(OR(A90="",B90=""),"",SUMIFS(Timesheet!$I$2:$I$500,Timesheet!$B$2:$B$500,$A90,Timesheet!$C$2:$C$500,$B90))</f>
        <v/>
      </c>
      <c r="D90" s="14" t="str">
        <f>IF(B90="","",IFERROR(INDEX(Employees!$B$2:$B$100,MATCH($B90,Employees!$A$2:$A$100,0)),0))</f>
        <v/>
      </c>
      <c r="E90" s="21" t="str">
        <f t="shared" si="6"/>
        <v/>
      </c>
      <c r="F90" s="14" t="str">
        <f>IF(OR(A90="",B90=""),"",SUMIFS(Timesheet!$K$2:$K$500,Timesheet!$B$2:$B$500,$A90,Timesheet!$C$2:$C$500,$B90))</f>
        <v/>
      </c>
      <c r="G90" s="14" t="str">
        <f>IF(OR(A90="",B90=""),"",SUMIFS(Purchases!$I$2:$I$500,Purchases!$B$2:$B$500,$A90,Purchases!$C$2:$C$500,$B90))</f>
        <v/>
      </c>
      <c r="H90" s="21" t="str">
        <f t="shared" si="7"/>
        <v/>
      </c>
      <c r="I90" s="21" t="str">
        <f t="shared" si="8"/>
        <v/>
      </c>
      <c r="J90" t="str">
        <f>IFERROR(INDEX(Employees!$C$2:$C$100,MATCH($B90,Employees!$A$2:$A$100,0)),"")</f>
        <v/>
      </c>
      <c r="K90">
        <f>IFERROR(INDEX(Employees!$D$2:$D$100,MATCH($B90,Employees!$A$2:$A$100,0)),0)</f>
        <v>0</v>
      </c>
      <c r="L90">
        <f>IFERROR(INDEX(Employees!$E$2:$E$100,MATCH($B90,Employees!$A$2:$A$100,0)),1)</f>
        <v>1</v>
      </c>
      <c r="M90">
        <f>IFERROR(INDEX(Employees!$F$2:$F$100,MATCH($B90,Employees!$A$2:$A$100,0)),1)</f>
        <v>1</v>
      </c>
    </row>
    <row r="91" spans="1:13">
      <c r="A91" s="5"/>
      <c r="B91" s="5"/>
      <c r="C91" s="13" t="str">
        <f>IF(OR(A91="",B91=""),"",SUMIFS(Timesheet!$I$2:$I$500,Timesheet!$B$2:$B$500,$A91,Timesheet!$C$2:$C$500,$B91))</f>
        <v/>
      </c>
      <c r="D91" s="14" t="str">
        <f>IF(B91="","",IFERROR(INDEX(Employees!$B$2:$B$100,MATCH($B91,Employees!$A$2:$A$100,0)),0))</f>
        <v/>
      </c>
      <c r="E91" s="21" t="str">
        <f t="shared" si="6"/>
        <v/>
      </c>
      <c r="F91" s="14" t="str">
        <f>IF(OR(A91="",B91=""),"",SUMIFS(Timesheet!$K$2:$K$500,Timesheet!$B$2:$B$500,$A91,Timesheet!$C$2:$C$500,$B91))</f>
        <v/>
      </c>
      <c r="G91" s="14" t="str">
        <f>IF(OR(A91="",B91=""),"",SUMIFS(Purchases!$I$2:$I$500,Purchases!$B$2:$B$500,$A91,Purchases!$C$2:$C$500,$B91))</f>
        <v/>
      </c>
      <c r="H91" s="21" t="str">
        <f t="shared" si="7"/>
        <v/>
      </c>
      <c r="I91" s="21" t="str">
        <f t="shared" si="8"/>
        <v/>
      </c>
      <c r="J91" t="str">
        <f>IFERROR(INDEX(Employees!$C$2:$C$100,MATCH($B91,Employees!$A$2:$A$100,0)),"")</f>
        <v/>
      </c>
      <c r="K91">
        <f>IFERROR(INDEX(Employees!$D$2:$D$100,MATCH($B91,Employees!$A$2:$A$100,0)),0)</f>
        <v>0</v>
      </c>
      <c r="L91">
        <f>IFERROR(INDEX(Employees!$E$2:$E$100,MATCH($B91,Employees!$A$2:$A$100,0)),1)</f>
        <v>1</v>
      </c>
      <c r="M91">
        <f>IFERROR(INDEX(Employees!$F$2:$F$100,MATCH($B91,Employees!$A$2:$A$100,0)),1)</f>
        <v>1</v>
      </c>
    </row>
    <row r="92" spans="1:13">
      <c r="A92" s="5"/>
      <c r="B92" s="5"/>
      <c r="C92" s="13" t="str">
        <f>IF(OR(A92="",B92=""),"",SUMIFS(Timesheet!$I$2:$I$500,Timesheet!$B$2:$B$500,$A92,Timesheet!$C$2:$C$500,$B92))</f>
        <v/>
      </c>
      <c r="D92" s="14" t="str">
        <f>IF(B92="","",IFERROR(INDEX(Employees!$B$2:$B$100,MATCH($B92,Employees!$A$2:$A$100,0)),0))</f>
        <v/>
      </c>
      <c r="E92" s="21" t="str">
        <f t="shared" si="6"/>
        <v/>
      </c>
      <c r="F92" s="14" t="str">
        <f>IF(OR(A92="",B92=""),"",SUMIFS(Timesheet!$K$2:$K$500,Timesheet!$B$2:$B$500,$A92,Timesheet!$C$2:$C$500,$B92))</f>
        <v/>
      </c>
      <c r="G92" s="14" t="str">
        <f>IF(OR(A92="",B92=""),"",SUMIFS(Purchases!$I$2:$I$500,Purchases!$B$2:$B$500,$A92,Purchases!$C$2:$C$500,$B92))</f>
        <v/>
      </c>
      <c r="H92" s="21" t="str">
        <f t="shared" si="7"/>
        <v/>
      </c>
      <c r="I92" s="21" t="str">
        <f t="shared" si="8"/>
        <v/>
      </c>
      <c r="J92" t="str">
        <f>IFERROR(INDEX(Employees!$C$2:$C$100,MATCH($B92,Employees!$A$2:$A$100,0)),"")</f>
        <v/>
      </c>
      <c r="K92">
        <f>IFERROR(INDEX(Employees!$D$2:$D$100,MATCH($B92,Employees!$A$2:$A$100,0)),0)</f>
        <v>0</v>
      </c>
      <c r="L92">
        <f>IFERROR(INDEX(Employees!$E$2:$E$100,MATCH($B92,Employees!$A$2:$A$100,0)),1)</f>
        <v>1</v>
      </c>
      <c r="M92">
        <f>IFERROR(INDEX(Employees!$F$2:$F$100,MATCH($B92,Employees!$A$2:$A$100,0)),1)</f>
        <v>1</v>
      </c>
    </row>
    <row r="93" spans="1:13">
      <c r="A93" s="5"/>
      <c r="B93" s="5"/>
      <c r="C93" s="13" t="str">
        <f>IF(OR(A93="",B93=""),"",SUMIFS(Timesheet!$I$2:$I$500,Timesheet!$B$2:$B$500,$A93,Timesheet!$C$2:$C$500,$B93))</f>
        <v/>
      </c>
      <c r="D93" s="14" t="str">
        <f>IF(B93="","",IFERROR(INDEX(Employees!$B$2:$B$100,MATCH($B93,Employees!$A$2:$A$100,0)),0))</f>
        <v/>
      </c>
      <c r="E93" s="21" t="str">
        <f t="shared" si="6"/>
        <v/>
      </c>
      <c r="F93" s="14" t="str">
        <f>IF(OR(A93="",B93=""),"",SUMIFS(Timesheet!$K$2:$K$500,Timesheet!$B$2:$B$500,$A93,Timesheet!$C$2:$C$500,$B93))</f>
        <v/>
      </c>
      <c r="G93" s="14" t="str">
        <f>IF(OR(A93="",B93=""),"",SUMIFS(Purchases!$I$2:$I$500,Purchases!$B$2:$B$500,$A93,Purchases!$C$2:$C$500,$B93))</f>
        <v/>
      </c>
      <c r="H93" s="21" t="str">
        <f t="shared" si="7"/>
        <v/>
      </c>
      <c r="I93" s="21" t="str">
        <f t="shared" si="8"/>
        <v/>
      </c>
      <c r="J93" t="str">
        <f>IFERROR(INDEX(Employees!$C$2:$C$100,MATCH($B93,Employees!$A$2:$A$100,0)),"")</f>
        <v/>
      </c>
      <c r="K93">
        <f>IFERROR(INDEX(Employees!$D$2:$D$100,MATCH($B93,Employees!$A$2:$A$100,0)),0)</f>
        <v>0</v>
      </c>
      <c r="L93">
        <f>IFERROR(INDEX(Employees!$E$2:$E$100,MATCH($B93,Employees!$A$2:$A$100,0)),1)</f>
        <v>1</v>
      </c>
      <c r="M93">
        <f>IFERROR(INDEX(Employees!$F$2:$F$100,MATCH($B93,Employees!$A$2:$A$100,0)),1)</f>
        <v>1</v>
      </c>
    </row>
    <row r="94" spans="1:13">
      <c r="A94" s="5"/>
      <c r="B94" s="5"/>
      <c r="C94" s="13" t="str">
        <f>IF(OR(A94="",B94=""),"",SUMIFS(Timesheet!$I$2:$I$500,Timesheet!$B$2:$B$500,$A94,Timesheet!$C$2:$C$500,$B94))</f>
        <v/>
      </c>
      <c r="D94" s="14" t="str">
        <f>IF(B94="","",IFERROR(INDEX(Employees!$B$2:$B$100,MATCH($B94,Employees!$A$2:$A$100,0)),0))</f>
        <v/>
      </c>
      <c r="E94" s="21" t="str">
        <f t="shared" si="6"/>
        <v/>
      </c>
      <c r="F94" s="14" t="str">
        <f>IF(OR(A94="",B94=""),"",SUMIFS(Timesheet!$K$2:$K$500,Timesheet!$B$2:$B$500,$A94,Timesheet!$C$2:$C$500,$B94))</f>
        <v/>
      </c>
      <c r="G94" s="14" t="str">
        <f>IF(OR(A94="",B94=""),"",SUMIFS(Purchases!$I$2:$I$500,Purchases!$B$2:$B$500,$A94,Purchases!$C$2:$C$500,$B94))</f>
        <v/>
      </c>
      <c r="H94" s="21" t="str">
        <f t="shared" si="7"/>
        <v/>
      </c>
      <c r="I94" s="21" t="str">
        <f t="shared" si="8"/>
        <v/>
      </c>
      <c r="J94" t="str">
        <f>IFERROR(INDEX(Employees!$C$2:$C$100,MATCH($B94,Employees!$A$2:$A$100,0)),"")</f>
        <v/>
      </c>
      <c r="K94">
        <f>IFERROR(INDEX(Employees!$D$2:$D$100,MATCH($B94,Employees!$A$2:$A$100,0)),0)</f>
        <v>0</v>
      </c>
      <c r="L94">
        <f>IFERROR(INDEX(Employees!$E$2:$E$100,MATCH($B94,Employees!$A$2:$A$100,0)),1)</f>
        <v>1</v>
      </c>
      <c r="M94">
        <f>IFERROR(INDEX(Employees!$F$2:$F$100,MATCH($B94,Employees!$A$2:$A$100,0)),1)</f>
        <v>1</v>
      </c>
    </row>
    <row r="95" spans="1:13">
      <c r="A95" s="5"/>
      <c r="B95" s="5"/>
      <c r="C95" s="13" t="str">
        <f>IF(OR(A95="",B95=""),"",SUMIFS(Timesheet!$I$2:$I$500,Timesheet!$B$2:$B$500,$A95,Timesheet!$C$2:$C$500,$B95))</f>
        <v/>
      </c>
      <c r="D95" s="14" t="str">
        <f>IF(B95="","",IFERROR(INDEX(Employees!$B$2:$B$100,MATCH($B95,Employees!$A$2:$A$100,0)),0))</f>
        <v/>
      </c>
      <c r="E95" s="21" t="str">
        <f t="shared" si="6"/>
        <v/>
      </c>
      <c r="F95" s="14" t="str">
        <f>IF(OR(A95="",B95=""),"",SUMIFS(Timesheet!$K$2:$K$500,Timesheet!$B$2:$B$500,$A95,Timesheet!$C$2:$C$500,$B95))</f>
        <v/>
      </c>
      <c r="G95" s="14" t="str">
        <f>IF(OR(A95="",B95=""),"",SUMIFS(Purchases!$I$2:$I$500,Purchases!$B$2:$B$500,$A95,Purchases!$C$2:$C$500,$B95))</f>
        <v/>
      </c>
      <c r="H95" s="21" t="str">
        <f t="shared" si="7"/>
        <v/>
      </c>
      <c r="I95" s="21" t="str">
        <f t="shared" si="8"/>
        <v/>
      </c>
      <c r="J95" t="str">
        <f>IFERROR(INDEX(Employees!$C$2:$C$100,MATCH($B95,Employees!$A$2:$A$100,0)),"")</f>
        <v/>
      </c>
      <c r="K95">
        <f>IFERROR(INDEX(Employees!$D$2:$D$100,MATCH($B95,Employees!$A$2:$A$100,0)),0)</f>
        <v>0</v>
      </c>
      <c r="L95">
        <f>IFERROR(INDEX(Employees!$E$2:$E$100,MATCH($B95,Employees!$A$2:$A$100,0)),1)</f>
        <v>1</v>
      </c>
      <c r="M95">
        <f>IFERROR(INDEX(Employees!$F$2:$F$100,MATCH($B95,Employees!$A$2:$A$100,0)),1)</f>
        <v>1</v>
      </c>
    </row>
    <row r="96" spans="1:13">
      <c r="A96" s="5"/>
      <c r="B96" s="5"/>
      <c r="C96" s="13" t="str">
        <f>IF(OR(A96="",B96=""),"",SUMIFS(Timesheet!$I$2:$I$500,Timesheet!$B$2:$B$500,$A96,Timesheet!$C$2:$C$500,$B96))</f>
        <v/>
      </c>
      <c r="D96" s="14" t="str">
        <f>IF(B96="","",IFERROR(INDEX(Employees!$B$2:$B$100,MATCH($B96,Employees!$A$2:$A$100,0)),0))</f>
        <v/>
      </c>
      <c r="E96" s="21" t="str">
        <f t="shared" si="6"/>
        <v/>
      </c>
      <c r="F96" s="14" t="str">
        <f>IF(OR(A96="",B96=""),"",SUMIFS(Timesheet!$K$2:$K$500,Timesheet!$B$2:$B$500,$A96,Timesheet!$C$2:$C$500,$B96))</f>
        <v/>
      </c>
      <c r="G96" s="14" t="str">
        <f>IF(OR(A96="",B96=""),"",SUMIFS(Purchases!$I$2:$I$500,Purchases!$B$2:$B$500,$A96,Purchases!$C$2:$C$500,$B96))</f>
        <v/>
      </c>
      <c r="H96" s="21" t="str">
        <f t="shared" si="7"/>
        <v/>
      </c>
      <c r="I96" s="21" t="str">
        <f t="shared" si="8"/>
        <v/>
      </c>
      <c r="J96" t="str">
        <f>IFERROR(INDEX(Employees!$C$2:$C$100,MATCH($B96,Employees!$A$2:$A$100,0)),"")</f>
        <v/>
      </c>
      <c r="K96">
        <f>IFERROR(INDEX(Employees!$D$2:$D$100,MATCH($B96,Employees!$A$2:$A$100,0)),0)</f>
        <v>0</v>
      </c>
      <c r="L96">
        <f>IFERROR(INDEX(Employees!$E$2:$E$100,MATCH($B96,Employees!$A$2:$A$100,0)),1)</f>
        <v>1</v>
      </c>
      <c r="M96">
        <f>IFERROR(INDEX(Employees!$F$2:$F$100,MATCH($B96,Employees!$A$2:$A$100,0)),1)</f>
        <v>1</v>
      </c>
    </row>
    <row r="97" spans="1:13">
      <c r="A97" s="5"/>
      <c r="B97" s="5"/>
      <c r="C97" s="13" t="str">
        <f>IF(OR(A97="",B97=""),"",SUMIFS(Timesheet!$I$2:$I$500,Timesheet!$B$2:$B$500,$A97,Timesheet!$C$2:$C$500,$B97))</f>
        <v/>
      </c>
      <c r="D97" s="14" t="str">
        <f>IF(B97="","",IFERROR(INDEX(Employees!$B$2:$B$100,MATCH($B97,Employees!$A$2:$A$100,0)),0))</f>
        <v/>
      </c>
      <c r="E97" s="21" t="str">
        <f t="shared" si="6"/>
        <v/>
      </c>
      <c r="F97" s="14" t="str">
        <f>IF(OR(A97="",B97=""),"",SUMIFS(Timesheet!$K$2:$K$500,Timesheet!$B$2:$B$500,$A97,Timesheet!$C$2:$C$500,$B97))</f>
        <v/>
      </c>
      <c r="G97" s="14" t="str">
        <f>IF(OR(A97="",B97=""),"",SUMIFS(Purchases!$I$2:$I$500,Purchases!$B$2:$B$500,$A97,Purchases!$C$2:$C$500,$B97))</f>
        <v/>
      </c>
      <c r="H97" s="21" t="str">
        <f t="shared" si="7"/>
        <v/>
      </c>
      <c r="I97" s="21" t="str">
        <f t="shared" si="8"/>
        <v/>
      </c>
      <c r="J97" t="str">
        <f>IFERROR(INDEX(Employees!$C$2:$C$100,MATCH($B97,Employees!$A$2:$A$100,0)),"")</f>
        <v/>
      </c>
      <c r="K97">
        <f>IFERROR(INDEX(Employees!$D$2:$D$100,MATCH($B97,Employees!$A$2:$A$100,0)),0)</f>
        <v>0</v>
      </c>
      <c r="L97">
        <f>IFERROR(INDEX(Employees!$E$2:$E$100,MATCH($B97,Employees!$A$2:$A$100,0)),1)</f>
        <v>1</v>
      </c>
      <c r="M97">
        <f>IFERROR(INDEX(Employees!$F$2:$F$100,MATCH($B97,Employees!$A$2:$A$100,0)),1)</f>
        <v>1</v>
      </c>
    </row>
    <row r="98" spans="1:13">
      <c r="A98" s="5"/>
      <c r="B98" s="5"/>
      <c r="C98" s="13" t="str">
        <f>IF(OR(A98="",B98=""),"",SUMIFS(Timesheet!$I$2:$I$500,Timesheet!$B$2:$B$500,$A98,Timesheet!$C$2:$C$500,$B98))</f>
        <v/>
      </c>
      <c r="D98" s="14" t="str">
        <f>IF(B98="","",IFERROR(INDEX(Employees!$B$2:$B$100,MATCH($B98,Employees!$A$2:$A$100,0)),0))</f>
        <v/>
      </c>
      <c r="E98" s="21" t="str">
        <f t="shared" ref="E98:E129" si="9">IF(C98="","",ROUND(C98*D98,0))</f>
        <v/>
      </c>
      <c r="F98" s="14" t="str">
        <f>IF(OR(A98="",B98=""),"",SUMIFS(Timesheet!$K$2:$K$500,Timesheet!$B$2:$B$500,$A98,Timesheet!$C$2:$C$500,$B98))</f>
        <v/>
      </c>
      <c r="G98" s="14" t="str">
        <f>IF(OR(A98="",B98=""),"",SUMIFS(Purchases!$I$2:$I$500,Purchases!$B$2:$B$500,$A98,Purchases!$C$2:$C$500,$B98))</f>
        <v/>
      </c>
      <c r="H98" s="21" t="str">
        <f t="shared" ref="H98:H129" si="10">IF(G98="","",IF(J98="88折，滿2500再9折",ROUND(G98*L98*IF(G98&gt;=K98,M98,1),0),IF(J98="統一9折",ROUND(G98*M98,0),ROUND(G98,0))))</f>
        <v/>
      </c>
      <c r="I98" s="21" t="str">
        <f t="shared" ref="I98:I129" si="11">IF(E98="","",E98+F98-H98)</f>
        <v/>
      </c>
      <c r="J98" t="str">
        <f>IFERROR(INDEX(Employees!$C$2:$C$100,MATCH($B98,Employees!$A$2:$A$100,0)),"")</f>
        <v/>
      </c>
      <c r="K98">
        <f>IFERROR(INDEX(Employees!$D$2:$D$100,MATCH($B98,Employees!$A$2:$A$100,0)),0)</f>
        <v>0</v>
      </c>
      <c r="L98">
        <f>IFERROR(INDEX(Employees!$E$2:$E$100,MATCH($B98,Employees!$A$2:$A$100,0)),1)</f>
        <v>1</v>
      </c>
      <c r="M98">
        <f>IFERROR(INDEX(Employees!$F$2:$F$100,MATCH($B98,Employees!$A$2:$A$100,0)),1)</f>
        <v>1</v>
      </c>
    </row>
    <row r="99" spans="1:13">
      <c r="A99" s="5"/>
      <c r="B99" s="5"/>
      <c r="C99" s="13" t="str">
        <f>IF(OR(A99="",B99=""),"",SUMIFS(Timesheet!$I$2:$I$500,Timesheet!$B$2:$B$500,$A99,Timesheet!$C$2:$C$500,$B99))</f>
        <v/>
      </c>
      <c r="D99" s="14" t="str">
        <f>IF(B99="","",IFERROR(INDEX(Employees!$B$2:$B$100,MATCH($B99,Employees!$A$2:$A$100,0)),0))</f>
        <v/>
      </c>
      <c r="E99" s="21" t="str">
        <f t="shared" si="9"/>
        <v/>
      </c>
      <c r="F99" s="14" t="str">
        <f>IF(OR(A99="",B99=""),"",SUMIFS(Timesheet!$K$2:$K$500,Timesheet!$B$2:$B$500,$A99,Timesheet!$C$2:$C$500,$B99))</f>
        <v/>
      </c>
      <c r="G99" s="14" t="str">
        <f>IF(OR(A99="",B99=""),"",SUMIFS(Purchases!$I$2:$I$500,Purchases!$B$2:$B$500,$A99,Purchases!$C$2:$C$500,$B99))</f>
        <v/>
      </c>
      <c r="H99" s="21" t="str">
        <f t="shared" si="10"/>
        <v/>
      </c>
      <c r="I99" s="21" t="str">
        <f t="shared" si="11"/>
        <v/>
      </c>
      <c r="J99" t="str">
        <f>IFERROR(INDEX(Employees!$C$2:$C$100,MATCH($B99,Employees!$A$2:$A$100,0)),"")</f>
        <v/>
      </c>
      <c r="K99">
        <f>IFERROR(INDEX(Employees!$D$2:$D$100,MATCH($B99,Employees!$A$2:$A$100,0)),0)</f>
        <v>0</v>
      </c>
      <c r="L99">
        <f>IFERROR(INDEX(Employees!$E$2:$E$100,MATCH($B99,Employees!$A$2:$A$100,0)),1)</f>
        <v>1</v>
      </c>
      <c r="M99">
        <f>IFERROR(INDEX(Employees!$F$2:$F$100,MATCH($B99,Employees!$A$2:$A$100,0)),1)</f>
        <v>1</v>
      </c>
    </row>
    <row r="100" spans="1:13">
      <c r="A100" s="5"/>
      <c r="B100" s="5"/>
      <c r="C100" s="13" t="str">
        <f>IF(OR(A100="",B100=""),"",SUMIFS(Timesheet!$I$2:$I$500,Timesheet!$B$2:$B$500,$A100,Timesheet!$C$2:$C$500,$B100))</f>
        <v/>
      </c>
      <c r="D100" s="14" t="str">
        <f>IF(B100="","",IFERROR(INDEX(Employees!$B$2:$B$100,MATCH($B100,Employees!$A$2:$A$100,0)),0))</f>
        <v/>
      </c>
      <c r="E100" s="21" t="str">
        <f t="shared" si="9"/>
        <v/>
      </c>
      <c r="F100" s="14" t="str">
        <f>IF(OR(A100="",B100=""),"",SUMIFS(Timesheet!$K$2:$K$500,Timesheet!$B$2:$B$500,$A100,Timesheet!$C$2:$C$500,$B100))</f>
        <v/>
      </c>
      <c r="G100" s="14" t="str">
        <f>IF(OR(A100="",B100=""),"",SUMIFS(Purchases!$I$2:$I$500,Purchases!$B$2:$B$500,$A100,Purchases!$C$2:$C$500,$B100))</f>
        <v/>
      </c>
      <c r="H100" s="21" t="str">
        <f t="shared" si="10"/>
        <v/>
      </c>
      <c r="I100" s="21" t="str">
        <f t="shared" si="11"/>
        <v/>
      </c>
      <c r="J100" t="str">
        <f>IFERROR(INDEX(Employees!$C$2:$C$100,MATCH($B100,Employees!$A$2:$A$100,0)),"")</f>
        <v/>
      </c>
      <c r="K100">
        <f>IFERROR(INDEX(Employees!$D$2:$D$100,MATCH($B100,Employees!$A$2:$A$100,0)),0)</f>
        <v>0</v>
      </c>
      <c r="L100">
        <f>IFERROR(INDEX(Employees!$E$2:$E$100,MATCH($B100,Employees!$A$2:$A$100,0)),1)</f>
        <v>1</v>
      </c>
      <c r="M100">
        <f>IFERROR(INDEX(Employees!$F$2:$F$100,MATCH($B100,Employees!$A$2:$A$100,0)),1)</f>
        <v>1</v>
      </c>
    </row>
    <row r="101" spans="1:13">
      <c r="A101" s="5"/>
      <c r="B101" s="5"/>
      <c r="C101" s="13" t="str">
        <f>IF(OR(A101="",B101=""),"",SUMIFS(Timesheet!$I$2:$I$500,Timesheet!$B$2:$B$500,$A101,Timesheet!$C$2:$C$500,$B101))</f>
        <v/>
      </c>
      <c r="D101" s="14" t="str">
        <f>IF(B101="","",IFERROR(INDEX(Employees!$B$2:$B$100,MATCH($B101,Employees!$A$2:$A$100,0)),0))</f>
        <v/>
      </c>
      <c r="E101" s="21" t="str">
        <f t="shared" si="9"/>
        <v/>
      </c>
      <c r="F101" s="14" t="str">
        <f>IF(OR(A101="",B101=""),"",SUMIFS(Timesheet!$K$2:$K$500,Timesheet!$B$2:$B$500,$A101,Timesheet!$C$2:$C$500,$B101))</f>
        <v/>
      </c>
      <c r="G101" s="14" t="str">
        <f>IF(OR(A101="",B101=""),"",SUMIFS(Purchases!$I$2:$I$500,Purchases!$B$2:$B$500,$A101,Purchases!$C$2:$C$500,$B101))</f>
        <v/>
      </c>
      <c r="H101" s="21" t="str">
        <f t="shared" si="10"/>
        <v/>
      </c>
      <c r="I101" s="21" t="str">
        <f t="shared" si="11"/>
        <v/>
      </c>
      <c r="J101" t="str">
        <f>IFERROR(INDEX(Employees!$C$2:$C$100,MATCH($B101,Employees!$A$2:$A$100,0)),"")</f>
        <v/>
      </c>
      <c r="K101">
        <f>IFERROR(INDEX(Employees!$D$2:$D$100,MATCH($B101,Employees!$A$2:$A$100,0)),0)</f>
        <v>0</v>
      </c>
      <c r="L101">
        <f>IFERROR(INDEX(Employees!$E$2:$E$100,MATCH($B101,Employees!$A$2:$A$100,0)),1)</f>
        <v>1</v>
      </c>
      <c r="M101">
        <f>IFERROR(INDEX(Employees!$F$2:$F$100,MATCH($B101,Employees!$A$2:$A$100,0)),1)</f>
        <v>1</v>
      </c>
    </row>
    <row r="102" spans="1:13">
      <c r="A102" s="5"/>
      <c r="B102" s="5"/>
      <c r="C102" s="13" t="str">
        <f>IF(OR(A102="",B102=""),"",SUMIFS(Timesheet!$I$2:$I$500,Timesheet!$B$2:$B$500,$A102,Timesheet!$C$2:$C$500,$B102))</f>
        <v/>
      </c>
      <c r="D102" s="14" t="str">
        <f>IF(B102="","",IFERROR(INDEX(Employees!$B$2:$B$100,MATCH($B102,Employees!$A$2:$A$100,0)),0))</f>
        <v/>
      </c>
      <c r="E102" s="21" t="str">
        <f t="shared" si="9"/>
        <v/>
      </c>
      <c r="F102" s="14" t="str">
        <f>IF(OR(A102="",B102=""),"",SUMIFS(Timesheet!$K$2:$K$500,Timesheet!$B$2:$B$500,$A102,Timesheet!$C$2:$C$500,$B102))</f>
        <v/>
      </c>
      <c r="G102" s="14" t="str">
        <f>IF(OR(A102="",B102=""),"",SUMIFS(Purchases!$I$2:$I$500,Purchases!$B$2:$B$500,$A102,Purchases!$C$2:$C$500,$B102))</f>
        <v/>
      </c>
      <c r="H102" s="21" t="str">
        <f t="shared" si="10"/>
        <v/>
      </c>
      <c r="I102" s="21" t="str">
        <f t="shared" si="11"/>
        <v/>
      </c>
      <c r="J102" t="str">
        <f>IFERROR(INDEX(Employees!$C$2:$C$100,MATCH($B102,Employees!$A$2:$A$100,0)),"")</f>
        <v/>
      </c>
      <c r="K102">
        <f>IFERROR(INDEX(Employees!$D$2:$D$100,MATCH($B102,Employees!$A$2:$A$100,0)),0)</f>
        <v>0</v>
      </c>
      <c r="L102">
        <f>IFERROR(INDEX(Employees!$E$2:$E$100,MATCH($B102,Employees!$A$2:$A$100,0)),1)</f>
        <v>1</v>
      </c>
      <c r="M102">
        <f>IFERROR(INDEX(Employees!$F$2:$F$100,MATCH($B102,Employees!$A$2:$A$100,0)),1)</f>
        <v>1</v>
      </c>
    </row>
    <row r="103" spans="1:13">
      <c r="A103" s="5"/>
      <c r="B103" s="5"/>
      <c r="C103" s="13" t="str">
        <f>IF(OR(A103="",B103=""),"",SUMIFS(Timesheet!$I$2:$I$500,Timesheet!$B$2:$B$500,$A103,Timesheet!$C$2:$C$500,$B103))</f>
        <v/>
      </c>
      <c r="D103" s="14" t="str">
        <f>IF(B103="","",IFERROR(INDEX(Employees!$B$2:$B$100,MATCH($B103,Employees!$A$2:$A$100,0)),0))</f>
        <v/>
      </c>
      <c r="E103" s="21" t="str">
        <f t="shared" si="9"/>
        <v/>
      </c>
      <c r="F103" s="14" t="str">
        <f>IF(OR(A103="",B103=""),"",SUMIFS(Timesheet!$K$2:$K$500,Timesheet!$B$2:$B$500,$A103,Timesheet!$C$2:$C$500,$B103))</f>
        <v/>
      </c>
      <c r="G103" s="14" t="str">
        <f>IF(OR(A103="",B103=""),"",SUMIFS(Purchases!$I$2:$I$500,Purchases!$B$2:$B$500,$A103,Purchases!$C$2:$C$500,$B103))</f>
        <v/>
      </c>
      <c r="H103" s="21" t="str">
        <f t="shared" si="10"/>
        <v/>
      </c>
      <c r="I103" s="21" t="str">
        <f t="shared" si="11"/>
        <v/>
      </c>
      <c r="J103" t="str">
        <f>IFERROR(INDEX(Employees!$C$2:$C$100,MATCH($B103,Employees!$A$2:$A$100,0)),"")</f>
        <v/>
      </c>
      <c r="K103">
        <f>IFERROR(INDEX(Employees!$D$2:$D$100,MATCH($B103,Employees!$A$2:$A$100,0)),0)</f>
        <v>0</v>
      </c>
      <c r="L103">
        <f>IFERROR(INDEX(Employees!$E$2:$E$100,MATCH($B103,Employees!$A$2:$A$100,0)),1)</f>
        <v>1</v>
      </c>
      <c r="M103">
        <f>IFERROR(INDEX(Employees!$F$2:$F$100,MATCH($B103,Employees!$A$2:$A$100,0)),1)</f>
        <v>1</v>
      </c>
    </row>
    <row r="104" spans="1:13">
      <c r="A104" s="5"/>
      <c r="B104" s="5"/>
      <c r="C104" s="13" t="str">
        <f>IF(OR(A104="",B104=""),"",SUMIFS(Timesheet!$I$2:$I$500,Timesheet!$B$2:$B$500,$A104,Timesheet!$C$2:$C$500,$B104))</f>
        <v/>
      </c>
      <c r="D104" s="14" t="str">
        <f>IF(B104="","",IFERROR(INDEX(Employees!$B$2:$B$100,MATCH($B104,Employees!$A$2:$A$100,0)),0))</f>
        <v/>
      </c>
      <c r="E104" s="21" t="str">
        <f t="shared" si="9"/>
        <v/>
      </c>
      <c r="F104" s="14" t="str">
        <f>IF(OR(A104="",B104=""),"",SUMIFS(Timesheet!$K$2:$K$500,Timesheet!$B$2:$B$500,$A104,Timesheet!$C$2:$C$500,$B104))</f>
        <v/>
      </c>
      <c r="G104" s="14" t="str">
        <f>IF(OR(A104="",B104=""),"",SUMIFS(Purchases!$I$2:$I$500,Purchases!$B$2:$B$500,$A104,Purchases!$C$2:$C$500,$B104))</f>
        <v/>
      </c>
      <c r="H104" s="21" t="str">
        <f t="shared" si="10"/>
        <v/>
      </c>
      <c r="I104" s="21" t="str">
        <f t="shared" si="11"/>
        <v/>
      </c>
      <c r="J104" t="str">
        <f>IFERROR(INDEX(Employees!$C$2:$C$100,MATCH($B104,Employees!$A$2:$A$100,0)),"")</f>
        <v/>
      </c>
      <c r="K104">
        <f>IFERROR(INDEX(Employees!$D$2:$D$100,MATCH($B104,Employees!$A$2:$A$100,0)),0)</f>
        <v>0</v>
      </c>
      <c r="L104">
        <f>IFERROR(INDEX(Employees!$E$2:$E$100,MATCH($B104,Employees!$A$2:$A$100,0)),1)</f>
        <v>1</v>
      </c>
      <c r="M104">
        <f>IFERROR(INDEX(Employees!$F$2:$F$100,MATCH($B104,Employees!$A$2:$A$100,0)),1)</f>
        <v>1</v>
      </c>
    </row>
    <row r="105" spans="1:13">
      <c r="A105" s="5"/>
      <c r="B105" s="5"/>
      <c r="C105" s="13" t="str">
        <f>IF(OR(A105="",B105=""),"",SUMIFS(Timesheet!$I$2:$I$500,Timesheet!$B$2:$B$500,$A105,Timesheet!$C$2:$C$500,$B105))</f>
        <v/>
      </c>
      <c r="D105" s="14" t="str">
        <f>IF(B105="","",IFERROR(INDEX(Employees!$B$2:$B$100,MATCH($B105,Employees!$A$2:$A$100,0)),0))</f>
        <v/>
      </c>
      <c r="E105" s="21" t="str">
        <f t="shared" si="9"/>
        <v/>
      </c>
      <c r="F105" s="14" t="str">
        <f>IF(OR(A105="",B105=""),"",SUMIFS(Timesheet!$K$2:$K$500,Timesheet!$B$2:$B$500,$A105,Timesheet!$C$2:$C$500,$B105))</f>
        <v/>
      </c>
      <c r="G105" s="14" t="str">
        <f>IF(OR(A105="",B105=""),"",SUMIFS(Purchases!$I$2:$I$500,Purchases!$B$2:$B$500,$A105,Purchases!$C$2:$C$500,$B105))</f>
        <v/>
      </c>
      <c r="H105" s="21" t="str">
        <f t="shared" si="10"/>
        <v/>
      </c>
      <c r="I105" s="21" t="str">
        <f t="shared" si="11"/>
        <v/>
      </c>
      <c r="J105" t="str">
        <f>IFERROR(INDEX(Employees!$C$2:$C$100,MATCH($B105,Employees!$A$2:$A$100,0)),"")</f>
        <v/>
      </c>
      <c r="K105">
        <f>IFERROR(INDEX(Employees!$D$2:$D$100,MATCH($B105,Employees!$A$2:$A$100,0)),0)</f>
        <v>0</v>
      </c>
      <c r="L105">
        <f>IFERROR(INDEX(Employees!$E$2:$E$100,MATCH($B105,Employees!$A$2:$A$100,0)),1)</f>
        <v>1</v>
      </c>
      <c r="M105">
        <f>IFERROR(INDEX(Employees!$F$2:$F$100,MATCH($B105,Employees!$A$2:$A$100,0)),1)</f>
        <v>1</v>
      </c>
    </row>
    <row r="106" spans="1:13">
      <c r="A106" s="5"/>
      <c r="B106" s="5"/>
      <c r="C106" s="13" t="str">
        <f>IF(OR(A106="",B106=""),"",SUMIFS(Timesheet!$I$2:$I$500,Timesheet!$B$2:$B$500,$A106,Timesheet!$C$2:$C$500,$B106))</f>
        <v/>
      </c>
      <c r="D106" s="14" t="str">
        <f>IF(B106="","",IFERROR(INDEX(Employees!$B$2:$B$100,MATCH($B106,Employees!$A$2:$A$100,0)),0))</f>
        <v/>
      </c>
      <c r="E106" s="21" t="str">
        <f t="shared" si="9"/>
        <v/>
      </c>
      <c r="F106" s="14" t="str">
        <f>IF(OR(A106="",B106=""),"",SUMIFS(Timesheet!$K$2:$K$500,Timesheet!$B$2:$B$500,$A106,Timesheet!$C$2:$C$500,$B106))</f>
        <v/>
      </c>
      <c r="G106" s="14" t="str">
        <f>IF(OR(A106="",B106=""),"",SUMIFS(Purchases!$I$2:$I$500,Purchases!$B$2:$B$500,$A106,Purchases!$C$2:$C$500,$B106))</f>
        <v/>
      </c>
      <c r="H106" s="21" t="str">
        <f t="shared" si="10"/>
        <v/>
      </c>
      <c r="I106" s="21" t="str">
        <f t="shared" si="11"/>
        <v/>
      </c>
      <c r="J106" t="str">
        <f>IFERROR(INDEX(Employees!$C$2:$C$100,MATCH($B106,Employees!$A$2:$A$100,0)),"")</f>
        <v/>
      </c>
      <c r="K106">
        <f>IFERROR(INDEX(Employees!$D$2:$D$100,MATCH($B106,Employees!$A$2:$A$100,0)),0)</f>
        <v>0</v>
      </c>
      <c r="L106">
        <f>IFERROR(INDEX(Employees!$E$2:$E$100,MATCH($B106,Employees!$A$2:$A$100,0)),1)</f>
        <v>1</v>
      </c>
      <c r="M106">
        <f>IFERROR(INDEX(Employees!$F$2:$F$100,MATCH($B106,Employees!$A$2:$A$100,0)),1)</f>
        <v>1</v>
      </c>
    </row>
    <row r="107" spans="1:13">
      <c r="A107" s="5"/>
      <c r="B107" s="5"/>
      <c r="C107" s="13" t="str">
        <f>IF(OR(A107="",B107=""),"",SUMIFS(Timesheet!$I$2:$I$500,Timesheet!$B$2:$B$500,$A107,Timesheet!$C$2:$C$500,$B107))</f>
        <v/>
      </c>
      <c r="D107" s="14" t="str">
        <f>IF(B107="","",IFERROR(INDEX(Employees!$B$2:$B$100,MATCH($B107,Employees!$A$2:$A$100,0)),0))</f>
        <v/>
      </c>
      <c r="E107" s="21" t="str">
        <f t="shared" si="9"/>
        <v/>
      </c>
      <c r="F107" s="14" t="str">
        <f>IF(OR(A107="",B107=""),"",SUMIFS(Timesheet!$K$2:$K$500,Timesheet!$B$2:$B$500,$A107,Timesheet!$C$2:$C$500,$B107))</f>
        <v/>
      </c>
      <c r="G107" s="14" t="str">
        <f>IF(OR(A107="",B107=""),"",SUMIFS(Purchases!$I$2:$I$500,Purchases!$B$2:$B$500,$A107,Purchases!$C$2:$C$500,$B107))</f>
        <v/>
      </c>
      <c r="H107" s="21" t="str">
        <f t="shared" si="10"/>
        <v/>
      </c>
      <c r="I107" s="21" t="str">
        <f t="shared" si="11"/>
        <v/>
      </c>
      <c r="J107" t="str">
        <f>IFERROR(INDEX(Employees!$C$2:$C$100,MATCH($B107,Employees!$A$2:$A$100,0)),"")</f>
        <v/>
      </c>
      <c r="K107">
        <f>IFERROR(INDEX(Employees!$D$2:$D$100,MATCH($B107,Employees!$A$2:$A$100,0)),0)</f>
        <v>0</v>
      </c>
      <c r="L107">
        <f>IFERROR(INDEX(Employees!$E$2:$E$100,MATCH($B107,Employees!$A$2:$A$100,0)),1)</f>
        <v>1</v>
      </c>
      <c r="M107">
        <f>IFERROR(INDEX(Employees!$F$2:$F$100,MATCH($B107,Employees!$A$2:$A$100,0)),1)</f>
        <v>1</v>
      </c>
    </row>
    <row r="108" spans="1:13">
      <c r="A108" s="5"/>
      <c r="B108" s="5"/>
      <c r="C108" s="13" t="str">
        <f>IF(OR(A108="",B108=""),"",SUMIFS(Timesheet!$I$2:$I$500,Timesheet!$B$2:$B$500,$A108,Timesheet!$C$2:$C$500,$B108))</f>
        <v/>
      </c>
      <c r="D108" s="14" t="str">
        <f>IF(B108="","",IFERROR(INDEX(Employees!$B$2:$B$100,MATCH($B108,Employees!$A$2:$A$100,0)),0))</f>
        <v/>
      </c>
      <c r="E108" s="21" t="str">
        <f t="shared" si="9"/>
        <v/>
      </c>
      <c r="F108" s="14" t="str">
        <f>IF(OR(A108="",B108=""),"",SUMIFS(Timesheet!$K$2:$K$500,Timesheet!$B$2:$B$500,$A108,Timesheet!$C$2:$C$500,$B108))</f>
        <v/>
      </c>
      <c r="G108" s="14" t="str">
        <f>IF(OR(A108="",B108=""),"",SUMIFS(Purchases!$I$2:$I$500,Purchases!$B$2:$B$500,$A108,Purchases!$C$2:$C$500,$B108))</f>
        <v/>
      </c>
      <c r="H108" s="21" t="str">
        <f t="shared" si="10"/>
        <v/>
      </c>
      <c r="I108" s="21" t="str">
        <f t="shared" si="11"/>
        <v/>
      </c>
      <c r="J108" t="str">
        <f>IFERROR(INDEX(Employees!$C$2:$C$100,MATCH($B108,Employees!$A$2:$A$100,0)),"")</f>
        <v/>
      </c>
      <c r="K108">
        <f>IFERROR(INDEX(Employees!$D$2:$D$100,MATCH($B108,Employees!$A$2:$A$100,0)),0)</f>
        <v>0</v>
      </c>
      <c r="L108">
        <f>IFERROR(INDEX(Employees!$E$2:$E$100,MATCH($B108,Employees!$A$2:$A$100,0)),1)</f>
        <v>1</v>
      </c>
      <c r="M108">
        <f>IFERROR(INDEX(Employees!$F$2:$F$100,MATCH($B108,Employees!$A$2:$A$100,0)),1)</f>
        <v>1</v>
      </c>
    </row>
    <row r="109" spans="1:13">
      <c r="A109" s="5"/>
      <c r="B109" s="5"/>
      <c r="C109" s="13" t="str">
        <f>IF(OR(A109="",B109=""),"",SUMIFS(Timesheet!$I$2:$I$500,Timesheet!$B$2:$B$500,$A109,Timesheet!$C$2:$C$500,$B109))</f>
        <v/>
      </c>
      <c r="D109" s="14" t="str">
        <f>IF(B109="","",IFERROR(INDEX(Employees!$B$2:$B$100,MATCH($B109,Employees!$A$2:$A$100,0)),0))</f>
        <v/>
      </c>
      <c r="E109" s="21" t="str">
        <f t="shared" si="9"/>
        <v/>
      </c>
      <c r="F109" s="14" t="str">
        <f>IF(OR(A109="",B109=""),"",SUMIFS(Timesheet!$K$2:$K$500,Timesheet!$B$2:$B$500,$A109,Timesheet!$C$2:$C$500,$B109))</f>
        <v/>
      </c>
      <c r="G109" s="14" t="str">
        <f>IF(OR(A109="",B109=""),"",SUMIFS(Purchases!$I$2:$I$500,Purchases!$B$2:$B$500,$A109,Purchases!$C$2:$C$500,$B109))</f>
        <v/>
      </c>
      <c r="H109" s="21" t="str">
        <f t="shared" si="10"/>
        <v/>
      </c>
      <c r="I109" s="21" t="str">
        <f t="shared" si="11"/>
        <v/>
      </c>
      <c r="J109" t="str">
        <f>IFERROR(INDEX(Employees!$C$2:$C$100,MATCH($B109,Employees!$A$2:$A$100,0)),"")</f>
        <v/>
      </c>
      <c r="K109">
        <f>IFERROR(INDEX(Employees!$D$2:$D$100,MATCH($B109,Employees!$A$2:$A$100,0)),0)</f>
        <v>0</v>
      </c>
      <c r="L109">
        <f>IFERROR(INDEX(Employees!$E$2:$E$100,MATCH($B109,Employees!$A$2:$A$100,0)),1)</f>
        <v>1</v>
      </c>
      <c r="M109">
        <f>IFERROR(INDEX(Employees!$F$2:$F$100,MATCH($B109,Employees!$A$2:$A$100,0)),1)</f>
        <v>1</v>
      </c>
    </row>
    <row r="110" spans="1:13">
      <c r="A110" s="5"/>
      <c r="B110" s="5"/>
      <c r="C110" s="13" t="str">
        <f>IF(OR(A110="",B110=""),"",SUMIFS(Timesheet!$I$2:$I$500,Timesheet!$B$2:$B$500,$A110,Timesheet!$C$2:$C$500,$B110))</f>
        <v/>
      </c>
      <c r="D110" s="14" t="str">
        <f>IF(B110="","",IFERROR(INDEX(Employees!$B$2:$B$100,MATCH($B110,Employees!$A$2:$A$100,0)),0))</f>
        <v/>
      </c>
      <c r="E110" s="21" t="str">
        <f t="shared" si="9"/>
        <v/>
      </c>
      <c r="F110" s="14" t="str">
        <f>IF(OR(A110="",B110=""),"",SUMIFS(Timesheet!$K$2:$K$500,Timesheet!$B$2:$B$500,$A110,Timesheet!$C$2:$C$500,$B110))</f>
        <v/>
      </c>
      <c r="G110" s="14" t="str">
        <f>IF(OR(A110="",B110=""),"",SUMIFS(Purchases!$I$2:$I$500,Purchases!$B$2:$B$500,$A110,Purchases!$C$2:$C$500,$B110))</f>
        <v/>
      </c>
      <c r="H110" s="21" t="str">
        <f t="shared" si="10"/>
        <v/>
      </c>
      <c r="I110" s="21" t="str">
        <f t="shared" si="11"/>
        <v/>
      </c>
      <c r="J110" t="str">
        <f>IFERROR(INDEX(Employees!$C$2:$C$100,MATCH($B110,Employees!$A$2:$A$100,0)),"")</f>
        <v/>
      </c>
      <c r="K110">
        <f>IFERROR(INDEX(Employees!$D$2:$D$100,MATCH($B110,Employees!$A$2:$A$100,0)),0)</f>
        <v>0</v>
      </c>
      <c r="L110">
        <f>IFERROR(INDEX(Employees!$E$2:$E$100,MATCH($B110,Employees!$A$2:$A$100,0)),1)</f>
        <v>1</v>
      </c>
      <c r="M110">
        <f>IFERROR(INDEX(Employees!$F$2:$F$100,MATCH($B110,Employees!$A$2:$A$100,0)),1)</f>
        <v>1</v>
      </c>
    </row>
    <row r="111" spans="1:13">
      <c r="A111" s="5"/>
      <c r="B111" s="5"/>
      <c r="C111" s="13" t="str">
        <f>IF(OR(A111="",B111=""),"",SUMIFS(Timesheet!$I$2:$I$500,Timesheet!$B$2:$B$500,$A111,Timesheet!$C$2:$C$500,$B111))</f>
        <v/>
      </c>
      <c r="D111" s="14" t="str">
        <f>IF(B111="","",IFERROR(INDEX(Employees!$B$2:$B$100,MATCH($B111,Employees!$A$2:$A$100,0)),0))</f>
        <v/>
      </c>
      <c r="E111" s="21" t="str">
        <f t="shared" si="9"/>
        <v/>
      </c>
      <c r="F111" s="14" t="str">
        <f>IF(OR(A111="",B111=""),"",SUMIFS(Timesheet!$K$2:$K$500,Timesheet!$B$2:$B$500,$A111,Timesheet!$C$2:$C$500,$B111))</f>
        <v/>
      </c>
      <c r="G111" s="14" t="str">
        <f>IF(OR(A111="",B111=""),"",SUMIFS(Purchases!$I$2:$I$500,Purchases!$B$2:$B$500,$A111,Purchases!$C$2:$C$500,$B111))</f>
        <v/>
      </c>
      <c r="H111" s="21" t="str">
        <f t="shared" si="10"/>
        <v/>
      </c>
      <c r="I111" s="21" t="str">
        <f t="shared" si="11"/>
        <v/>
      </c>
      <c r="J111" t="str">
        <f>IFERROR(INDEX(Employees!$C$2:$C$100,MATCH($B111,Employees!$A$2:$A$100,0)),"")</f>
        <v/>
      </c>
      <c r="K111">
        <f>IFERROR(INDEX(Employees!$D$2:$D$100,MATCH($B111,Employees!$A$2:$A$100,0)),0)</f>
        <v>0</v>
      </c>
      <c r="L111">
        <f>IFERROR(INDEX(Employees!$E$2:$E$100,MATCH($B111,Employees!$A$2:$A$100,0)),1)</f>
        <v>1</v>
      </c>
      <c r="M111">
        <f>IFERROR(INDEX(Employees!$F$2:$F$100,MATCH($B111,Employees!$A$2:$A$100,0)),1)</f>
        <v>1</v>
      </c>
    </row>
    <row r="112" spans="1:13">
      <c r="A112" s="5"/>
      <c r="B112" s="5"/>
      <c r="C112" s="13" t="str">
        <f>IF(OR(A112="",B112=""),"",SUMIFS(Timesheet!$I$2:$I$500,Timesheet!$B$2:$B$500,$A112,Timesheet!$C$2:$C$500,$B112))</f>
        <v/>
      </c>
      <c r="D112" s="14" t="str">
        <f>IF(B112="","",IFERROR(INDEX(Employees!$B$2:$B$100,MATCH($B112,Employees!$A$2:$A$100,0)),0))</f>
        <v/>
      </c>
      <c r="E112" s="21" t="str">
        <f t="shared" si="9"/>
        <v/>
      </c>
      <c r="F112" s="14" t="str">
        <f>IF(OR(A112="",B112=""),"",SUMIFS(Timesheet!$K$2:$K$500,Timesheet!$B$2:$B$500,$A112,Timesheet!$C$2:$C$500,$B112))</f>
        <v/>
      </c>
      <c r="G112" s="14" t="str">
        <f>IF(OR(A112="",B112=""),"",SUMIFS(Purchases!$I$2:$I$500,Purchases!$B$2:$B$500,$A112,Purchases!$C$2:$C$500,$B112))</f>
        <v/>
      </c>
      <c r="H112" s="21" t="str">
        <f t="shared" si="10"/>
        <v/>
      </c>
      <c r="I112" s="21" t="str">
        <f t="shared" si="11"/>
        <v/>
      </c>
      <c r="J112" t="str">
        <f>IFERROR(INDEX(Employees!$C$2:$C$100,MATCH($B112,Employees!$A$2:$A$100,0)),"")</f>
        <v/>
      </c>
      <c r="K112">
        <f>IFERROR(INDEX(Employees!$D$2:$D$100,MATCH($B112,Employees!$A$2:$A$100,0)),0)</f>
        <v>0</v>
      </c>
      <c r="L112">
        <f>IFERROR(INDEX(Employees!$E$2:$E$100,MATCH($B112,Employees!$A$2:$A$100,0)),1)</f>
        <v>1</v>
      </c>
      <c r="M112">
        <f>IFERROR(INDEX(Employees!$F$2:$F$100,MATCH($B112,Employees!$A$2:$A$100,0)),1)</f>
        <v>1</v>
      </c>
    </row>
    <row r="113" spans="1:13">
      <c r="A113" s="5"/>
      <c r="B113" s="5"/>
      <c r="C113" s="13" t="str">
        <f>IF(OR(A113="",B113=""),"",SUMIFS(Timesheet!$I$2:$I$500,Timesheet!$B$2:$B$500,$A113,Timesheet!$C$2:$C$500,$B113))</f>
        <v/>
      </c>
      <c r="D113" s="14" t="str">
        <f>IF(B113="","",IFERROR(INDEX(Employees!$B$2:$B$100,MATCH($B113,Employees!$A$2:$A$100,0)),0))</f>
        <v/>
      </c>
      <c r="E113" s="21" t="str">
        <f t="shared" si="9"/>
        <v/>
      </c>
      <c r="F113" s="14" t="str">
        <f>IF(OR(A113="",B113=""),"",SUMIFS(Timesheet!$K$2:$K$500,Timesheet!$B$2:$B$500,$A113,Timesheet!$C$2:$C$500,$B113))</f>
        <v/>
      </c>
      <c r="G113" s="14" t="str">
        <f>IF(OR(A113="",B113=""),"",SUMIFS(Purchases!$I$2:$I$500,Purchases!$B$2:$B$500,$A113,Purchases!$C$2:$C$500,$B113))</f>
        <v/>
      </c>
      <c r="H113" s="21" t="str">
        <f t="shared" si="10"/>
        <v/>
      </c>
      <c r="I113" s="21" t="str">
        <f t="shared" si="11"/>
        <v/>
      </c>
      <c r="J113" t="str">
        <f>IFERROR(INDEX(Employees!$C$2:$C$100,MATCH($B113,Employees!$A$2:$A$100,0)),"")</f>
        <v/>
      </c>
      <c r="K113">
        <f>IFERROR(INDEX(Employees!$D$2:$D$100,MATCH($B113,Employees!$A$2:$A$100,0)),0)</f>
        <v>0</v>
      </c>
      <c r="L113">
        <f>IFERROR(INDEX(Employees!$E$2:$E$100,MATCH($B113,Employees!$A$2:$A$100,0)),1)</f>
        <v>1</v>
      </c>
      <c r="M113">
        <f>IFERROR(INDEX(Employees!$F$2:$F$100,MATCH($B113,Employees!$A$2:$A$100,0)),1)</f>
        <v>1</v>
      </c>
    </row>
    <row r="114" spans="1:13">
      <c r="A114" s="5"/>
      <c r="B114" s="5"/>
      <c r="C114" s="13" t="str">
        <f>IF(OR(A114="",B114=""),"",SUMIFS(Timesheet!$I$2:$I$500,Timesheet!$B$2:$B$500,$A114,Timesheet!$C$2:$C$500,$B114))</f>
        <v/>
      </c>
      <c r="D114" s="14" t="str">
        <f>IF(B114="","",IFERROR(INDEX(Employees!$B$2:$B$100,MATCH($B114,Employees!$A$2:$A$100,0)),0))</f>
        <v/>
      </c>
      <c r="E114" s="21" t="str">
        <f t="shared" si="9"/>
        <v/>
      </c>
      <c r="F114" s="14" t="str">
        <f>IF(OR(A114="",B114=""),"",SUMIFS(Timesheet!$K$2:$K$500,Timesheet!$B$2:$B$500,$A114,Timesheet!$C$2:$C$500,$B114))</f>
        <v/>
      </c>
      <c r="G114" s="14" t="str">
        <f>IF(OR(A114="",B114=""),"",SUMIFS(Purchases!$I$2:$I$500,Purchases!$B$2:$B$500,$A114,Purchases!$C$2:$C$500,$B114))</f>
        <v/>
      </c>
      <c r="H114" s="21" t="str">
        <f t="shared" si="10"/>
        <v/>
      </c>
      <c r="I114" s="21" t="str">
        <f t="shared" si="11"/>
        <v/>
      </c>
      <c r="J114" t="str">
        <f>IFERROR(INDEX(Employees!$C$2:$C$100,MATCH($B114,Employees!$A$2:$A$100,0)),"")</f>
        <v/>
      </c>
      <c r="K114">
        <f>IFERROR(INDEX(Employees!$D$2:$D$100,MATCH($B114,Employees!$A$2:$A$100,0)),0)</f>
        <v>0</v>
      </c>
      <c r="L114">
        <f>IFERROR(INDEX(Employees!$E$2:$E$100,MATCH($B114,Employees!$A$2:$A$100,0)),1)</f>
        <v>1</v>
      </c>
      <c r="M114">
        <f>IFERROR(INDEX(Employees!$F$2:$F$100,MATCH($B114,Employees!$A$2:$A$100,0)),1)</f>
        <v>1</v>
      </c>
    </row>
    <row r="115" spans="1:13">
      <c r="A115" s="5"/>
      <c r="B115" s="5"/>
      <c r="C115" s="13" t="str">
        <f>IF(OR(A115="",B115=""),"",SUMIFS(Timesheet!$I$2:$I$500,Timesheet!$B$2:$B$500,$A115,Timesheet!$C$2:$C$500,$B115))</f>
        <v/>
      </c>
      <c r="D115" s="14" t="str">
        <f>IF(B115="","",IFERROR(INDEX(Employees!$B$2:$B$100,MATCH($B115,Employees!$A$2:$A$100,0)),0))</f>
        <v/>
      </c>
      <c r="E115" s="21" t="str">
        <f t="shared" si="9"/>
        <v/>
      </c>
      <c r="F115" s="14" t="str">
        <f>IF(OR(A115="",B115=""),"",SUMIFS(Timesheet!$K$2:$K$500,Timesheet!$B$2:$B$500,$A115,Timesheet!$C$2:$C$500,$B115))</f>
        <v/>
      </c>
      <c r="G115" s="14" t="str">
        <f>IF(OR(A115="",B115=""),"",SUMIFS(Purchases!$I$2:$I$500,Purchases!$B$2:$B$500,$A115,Purchases!$C$2:$C$500,$B115))</f>
        <v/>
      </c>
      <c r="H115" s="21" t="str">
        <f t="shared" si="10"/>
        <v/>
      </c>
      <c r="I115" s="21" t="str">
        <f t="shared" si="11"/>
        <v/>
      </c>
      <c r="J115" t="str">
        <f>IFERROR(INDEX(Employees!$C$2:$C$100,MATCH($B115,Employees!$A$2:$A$100,0)),"")</f>
        <v/>
      </c>
      <c r="K115">
        <f>IFERROR(INDEX(Employees!$D$2:$D$100,MATCH($B115,Employees!$A$2:$A$100,0)),0)</f>
        <v>0</v>
      </c>
      <c r="L115">
        <f>IFERROR(INDEX(Employees!$E$2:$E$100,MATCH($B115,Employees!$A$2:$A$100,0)),1)</f>
        <v>1</v>
      </c>
      <c r="M115">
        <f>IFERROR(INDEX(Employees!$F$2:$F$100,MATCH($B115,Employees!$A$2:$A$100,0)),1)</f>
        <v>1</v>
      </c>
    </row>
    <row r="116" spans="1:13">
      <c r="A116" s="5"/>
      <c r="B116" s="5"/>
      <c r="C116" s="13" t="str">
        <f>IF(OR(A116="",B116=""),"",SUMIFS(Timesheet!$I$2:$I$500,Timesheet!$B$2:$B$500,$A116,Timesheet!$C$2:$C$500,$B116))</f>
        <v/>
      </c>
      <c r="D116" s="14" t="str">
        <f>IF(B116="","",IFERROR(INDEX(Employees!$B$2:$B$100,MATCH($B116,Employees!$A$2:$A$100,0)),0))</f>
        <v/>
      </c>
      <c r="E116" s="21" t="str">
        <f t="shared" si="9"/>
        <v/>
      </c>
      <c r="F116" s="14" t="str">
        <f>IF(OR(A116="",B116=""),"",SUMIFS(Timesheet!$K$2:$K$500,Timesheet!$B$2:$B$500,$A116,Timesheet!$C$2:$C$500,$B116))</f>
        <v/>
      </c>
      <c r="G116" s="14" t="str">
        <f>IF(OR(A116="",B116=""),"",SUMIFS(Purchases!$I$2:$I$500,Purchases!$B$2:$B$500,$A116,Purchases!$C$2:$C$500,$B116))</f>
        <v/>
      </c>
      <c r="H116" s="21" t="str">
        <f t="shared" si="10"/>
        <v/>
      </c>
      <c r="I116" s="21" t="str">
        <f t="shared" si="11"/>
        <v/>
      </c>
      <c r="J116" t="str">
        <f>IFERROR(INDEX(Employees!$C$2:$C$100,MATCH($B116,Employees!$A$2:$A$100,0)),"")</f>
        <v/>
      </c>
      <c r="K116">
        <f>IFERROR(INDEX(Employees!$D$2:$D$100,MATCH($B116,Employees!$A$2:$A$100,0)),0)</f>
        <v>0</v>
      </c>
      <c r="L116">
        <f>IFERROR(INDEX(Employees!$E$2:$E$100,MATCH($B116,Employees!$A$2:$A$100,0)),1)</f>
        <v>1</v>
      </c>
      <c r="M116">
        <f>IFERROR(INDEX(Employees!$F$2:$F$100,MATCH($B116,Employees!$A$2:$A$100,0)),1)</f>
        <v>1</v>
      </c>
    </row>
    <row r="117" spans="1:13">
      <c r="A117" s="5"/>
      <c r="B117" s="5"/>
      <c r="C117" s="13" t="str">
        <f>IF(OR(A117="",B117=""),"",SUMIFS(Timesheet!$I$2:$I$500,Timesheet!$B$2:$B$500,$A117,Timesheet!$C$2:$C$500,$B117))</f>
        <v/>
      </c>
      <c r="D117" s="14" t="str">
        <f>IF(B117="","",IFERROR(INDEX(Employees!$B$2:$B$100,MATCH($B117,Employees!$A$2:$A$100,0)),0))</f>
        <v/>
      </c>
      <c r="E117" s="21" t="str">
        <f t="shared" si="9"/>
        <v/>
      </c>
      <c r="F117" s="14" t="str">
        <f>IF(OR(A117="",B117=""),"",SUMIFS(Timesheet!$K$2:$K$500,Timesheet!$B$2:$B$500,$A117,Timesheet!$C$2:$C$500,$B117))</f>
        <v/>
      </c>
      <c r="G117" s="14" t="str">
        <f>IF(OR(A117="",B117=""),"",SUMIFS(Purchases!$I$2:$I$500,Purchases!$B$2:$B$500,$A117,Purchases!$C$2:$C$500,$B117))</f>
        <v/>
      </c>
      <c r="H117" s="21" t="str">
        <f t="shared" si="10"/>
        <v/>
      </c>
      <c r="I117" s="21" t="str">
        <f t="shared" si="11"/>
        <v/>
      </c>
      <c r="J117" t="str">
        <f>IFERROR(INDEX(Employees!$C$2:$C$100,MATCH($B117,Employees!$A$2:$A$100,0)),"")</f>
        <v/>
      </c>
      <c r="K117">
        <f>IFERROR(INDEX(Employees!$D$2:$D$100,MATCH($B117,Employees!$A$2:$A$100,0)),0)</f>
        <v>0</v>
      </c>
      <c r="L117">
        <f>IFERROR(INDEX(Employees!$E$2:$E$100,MATCH($B117,Employees!$A$2:$A$100,0)),1)</f>
        <v>1</v>
      </c>
      <c r="M117">
        <f>IFERROR(INDEX(Employees!$F$2:$F$100,MATCH($B117,Employees!$A$2:$A$100,0)),1)</f>
        <v>1</v>
      </c>
    </row>
    <row r="118" spans="1:13">
      <c r="A118" s="5"/>
      <c r="B118" s="5"/>
      <c r="C118" s="13" t="str">
        <f>IF(OR(A118="",B118=""),"",SUMIFS(Timesheet!$I$2:$I$500,Timesheet!$B$2:$B$500,$A118,Timesheet!$C$2:$C$500,$B118))</f>
        <v/>
      </c>
      <c r="D118" s="14" t="str">
        <f>IF(B118="","",IFERROR(INDEX(Employees!$B$2:$B$100,MATCH($B118,Employees!$A$2:$A$100,0)),0))</f>
        <v/>
      </c>
      <c r="E118" s="21" t="str">
        <f t="shared" si="9"/>
        <v/>
      </c>
      <c r="F118" s="14" t="str">
        <f>IF(OR(A118="",B118=""),"",SUMIFS(Timesheet!$K$2:$K$500,Timesheet!$B$2:$B$500,$A118,Timesheet!$C$2:$C$500,$B118))</f>
        <v/>
      </c>
      <c r="G118" s="14" t="str">
        <f>IF(OR(A118="",B118=""),"",SUMIFS(Purchases!$I$2:$I$500,Purchases!$B$2:$B$500,$A118,Purchases!$C$2:$C$500,$B118))</f>
        <v/>
      </c>
      <c r="H118" s="21" t="str">
        <f t="shared" si="10"/>
        <v/>
      </c>
      <c r="I118" s="21" t="str">
        <f t="shared" si="11"/>
        <v/>
      </c>
      <c r="J118" t="str">
        <f>IFERROR(INDEX(Employees!$C$2:$C$100,MATCH($B118,Employees!$A$2:$A$100,0)),"")</f>
        <v/>
      </c>
      <c r="K118">
        <f>IFERROR(INDEX(Employees!$D$2:$D$100,MATCH($B118,Employees!$A$2:$A$100,0)),0)</f>
        <v>0</v>
      </c>
      <c r="L118">
        <f>IFERROR(INDEX(Employees!$E$2:$E$100,MATCH($B118,Employees!$A$2:$A$100,0)),1)</f>
        <v>1</v>
      </c>
      <c r="M118">
        <f>IFERROR(INDEX(Employees!$F$2:$F$100,MATCH($B118,Employees!$A$2:$A$100,0)),1)</f>
        <v>1</v>
      </c>
    </row>
    <row r="119" spans="1:13">
      <c r="A119" s="5"/>
      <c r="B119" s="5"/>
      <c r="C119" s="13" t="str">
        <f>IF(OR(A119="",B119=""),"",SUMIFS(Timesheet!$I$2:$I$500,Timesheet!$B$2:$B$500,$A119,Timesheet!$C$2:$C$500,$B119))</f>
        <v/>
      </c>
      <c r="D119" s="14" t="str">
        <f>IF(B119="","",IFERROR(INDEX(Employees!$B$2:$B$100,MATCH($B119,Employees!$A$2:$A$100,0)),0))</f>
        <v/>
      </c>
      <c r="E119" s="21" t="str">
        <f t="shared" si="9"/>
        <v/>
      </c>
      <c r="F119" s="14" t="str">
        <f>IF(OR(A119="",B119=""),"",SUMIFS(Timesheet!$K$2:$K$500,Timesheet!$B$2:$B$500,$A119,Timesheet!$C$2:$C$500,$B119))</f>
        <v/>
      </c>
      <c r="G119" s="14" t="str">
        <f>IF(OR(A119="",B119=""),"",SUMIFS(Purchases!$I$2:$I$500,Purchases!$B$2:$B$500,$A119,Purchases!$C$2:$C$500,$B119))</f>
        <v/>
      </c>
      <c r="H119" s="21" t="str">
        <f t="shared" si="10"/>
        <v/>
      </c>
      <c r="I119" s="21" t="str">
        <f t="shared" si="11"/>
        <v/>
      </c>
      <c r="J119" t="str">
        <f>IFERROR(INDEX(Employees!$C$2:$C$100,MATCH($B119,Employees!$A$2:$A$100,0)),"")</f>
        <v/>
      </c>
      <c r="K119">
        <f>IFERROR(INDEX(Employees!$D$2:$D$100,MATCH($B119,Employees!$A$2:$A$100,0)),0)</f>
        <v>0</v>
      </c>
      <c r="L119">
        <f>IFERROR(INDEX(Employees!$E$2:$E$100,MATCH($B119,Employees!$A$2:$A$100,0)),1)</f>
        <v>1</v>
      </c>
      <c r="M119">
        <f>IFERROR(INDEX(Employees!$F$2:$F$100,MATCH($B119,Employees!$A$2:$A$100,0)),1)</f>
        <v>1</v>
      </c>
    </row>
    <row r="120" spans="1:13">
      <c r="A120" s="5"/>
      <c r="B120" s="5"/>
      <c r="C120" s="13" t="str">
        <f>IF(OR(A120="",B120=""),"",SUMIFS(Timesheet!$I$2:$I$500,Timesheet!$B$2:$B$500,$A120,Timesheet!$C$2:$C$500,$B120))</f>
        <v/>
      </c>
      <c r="D120" s="14" t="str">
        <f>IF(B120="","",IFERROR(INDEX(Employees!$B$2:$B$100,MATCH($B120,Employees!$A$2:$A$100,0)),0))</f>
        <v/>
      </c>
      <c r="E120" s="21" t="str">
        <f t="shared" si="9"/>
        <v/>
      </c>
      <c r="F120" s="14" t="str">
        <f>IF(OR(A120="",B120=""),"",SUMIFS(Timesheet!$K$2:$K$500,Timesheet!$B$2:$B$500,$A120,Timesheet!$C$2:$C$500,$B120))</f>
        <v/>
      </c>
      <c r="G120" s="14" t="str">
        <f>IF(OR(A120="",B120=""),"",SUMIFS(Purchases!$I$2:$I$500,Purchases!$B$2:$B$500,$A120,Purchases!$C$2:$C$500,$B120))</f>
        <v/>
      </c>
      <c r="H120" s="21" t="str">
        <f t="shared" si="10"/>
        <v/>
      </c>
      <c r="I120" s="21" t="str">
        <f t="shared" si="11"/>
        <v/>
      </c>
      <c r="J120" t="str">
        <f>IFERROR(INDEX(Employees!$C$2:$C$100,MATCH($B120,Employees!$A$2:$A$100,0)),"")</f>
        <v/>
      </c>
      <c r="K120">
        <f>IFERROR(INDEX(Employees!$D$2:$D$100,MATCH($B120,Employees!$A$2:$A$100,0)),0)</f>
        <v>0</v>
      </c>
      <c r="L120">
        <f>IFERROR(INDEX(Employees!$E$2:$E$100,MATCH($B120,Employees!$A$2:$A$100,0)),1)</f>
        <v>1</v>
      </c>
      <c r="M120">
        <f>IFERROR(INDEX(Employees!$F$2:$F$100,MATCH($B120,Employees!$A$2:$A$100,0)),1)</f>
        <v>1</v>
      </c>
    </row>
    <row r="121" spans="1:13">
      <c r="A121" s="5"/>
      <c r="B121" s="5"/>
      <c r="C121" s="13" t="str">
        <f>IF(OR(A121="",B121=""),"",SUMIFS(Timesheet!$I$2:$I$500,Timesheet!$B$2:$B$500,$A121,Timesheet!$C$2:$C$500,$B121))</f>
        <v/>
      </c>
      <c r="D121" s="14" t="str">
        <f>IF(B121="","",IFERROR(INDEX(Employees!$B$2:$B$100,MATCH($B121,Employees!$A$2:$A$100,0)),0))</f>
        <v/>
      </c>
      <c r="E121" s="21" t="str">
        <f t="shared" si="9"/>
        <v/>
      </c>
      <c r="F121" s="14" t="str">
        <f>IF(OR(A121="",B121=""),"",SUMIFS(Timesheet!$K$2:$K$500,Timesheet!$B$2:$B$500,$A121,Timesheet!$C$2:$C$500,$B121))</f>
        <v/>
      </c>
      <c r="G121" s="14" t="str">
        <f>IF(OR(A121="",B121=""),"",SUMIFS(Purchases!$I$2:$I$500,Purchases!$B$2:$B$500,$A121,Purchases!$C$2:$C$500,$B121))</f>
        <v/>
      </c>
      <c r="H121" s="21" t="str">
        <f t="shared" si="10"/>
        <v/>
      </c>
      <c r="I121" s="21" t="str">
        <f t="shared" si="11"/>
        <v/>
      </c>
      <c r="J121" t="str">
        <f>IFERROR(INDEX(Employees!$C$2:$C$100,MATCH($B121,Employees!$A$2:$A$100,0)),"")</f>
        <v/>
      </c>
      <c r="K121">
        <f>IFERROR(INDEX(Employees!$D$2:$D$100,MATCH($B121,Employees!$A$2:$A$100,0)),0)</f>
        <v>0</v>
      </c>
      <c r="L121">
        <f>IFERROR(INDEX(Employees!$E$2:$E$100,MATCH($B121,Employees!$A$2:$A$100,0)),1)</f>
        <v>1</v>
      </c>
      <c r="M121">
        <f>IFERROR(INDEX(Employees!$F$2:$F$100,MATCH($B121,Employees!$A$2:$A$100,0)),1)</f>
        <v>1</v>
      </c>
    </row>
    <row r="122" spans="1:13">
      <c r="A122" s="5"/>
      <c r="B122" s="5"/>
      <c r="C122" s="13" t="str">
        <f>IF(OR(A122="",B122=""),"",SUMIFS(Timesheet!$I$2:$I$500,Timesheet!$B$2:$B$500,$A122,Timesheet!$C$2:$C$500,$B122))</f>
        <v/>
      </c>
      <c r="D122" s="14" t="str">
        <f>IF(B122="","",IFERROR(INDEX(Employees!$B$2:$B$100,MATCH($B122,Employees!$A$2:$A$100,0)),0))</f>
        <v/>
      </c>
      <c r="E122" s="21" t="str">
        <f t="shared" si="9"/>
        <v/>
      </c>
      <c r="F122" s="14" t="str">
        <f>IF(OR(A122="",B122=""),"",SUMIFS(Timesheet!$K$2:$K$500,Timesheet!$B$2:$B$500,$A122,Timesheet!$C$2:$C$500,$B122))</f>
        <v/>
      </c>
      <c r="G122" s="14" t="str">
        <f>IF(OR(A122="",B122=""),"",SUMIFS(Purchases!$I$2:$I$500,Purchases!$B$2:$B$500,$A122,Purchases!$C$2:$C$500,$B122))</f>
        <v/>
      </c>
      <c r="H122" s="21" t="str">
        <f t="shared" si="10"/>
        <v/>
      </c>
      <c r="I122" s="21" t="str">
        <f t="shared" si="11"/>
        <v/>
      </c>
      <c r="J122" t="str">
        <f>IFERROR(INDEX(Employees!$C$2:$C$100,MATCH($B122,Employees!$A$2:$A$100,0)),"")</f>
        <v/>
      </c>
      <c r="K122">
        <f>IFERROR(INDEX(Employees!$D$2:$D$100,MATCH($B122,Employees!$A$2:$A$100,0)),0)</f>
        <v>0</v>
      </c>
      <c r="L122">
        <f>IFERROR(INDEX(Employees!$E$2:$E$100,MATCH($B122,Employees!$A$2:$A$100,0)),1)</f>
        <v>1</v>
      </c>
      <c r="M122">
        <f>IFERROR(INDEX(Employees!$F$2:$F$100,MATCH($B122,Employees!$A$2:$A$100,0)),1)</f>
        <v>1</v>
      </c>
    </row>
    <row r="123" spans="1:13">
      <c r="A123" s="5"/>
      <c r="B123" s="5"/>
      <c r="C123" s="13" t="str">
        <f>IF(OR(A123="",B123=""),"",SUMIFS(Timesheet!$I$2:$I$500,Timesheet!$B$2:$B$500,$A123,Timesheet!$C$2:$C$500,$B123))</f>
        <v/>
      </c>
      <c r="D123" s="14" t="str">
        <f>IF(B123="","",IFERROR(INDEX(Employees!$B$2:$B$100,MATCH($B123,Employees!$A$2:$A$100,0)),0))</f>
        <v/>
      </c>
      <c r="E123" s="21" t="str">
        <f t="shared" si="9"/>
        <v/>
      </c>
      <c r="F123" s="14" t="str">
        <f>IF(OR(A123="",B123=""),"",SUMIFS(Timesheet!$K$2:$K$500,Timesheet!$B$2:$B$500,$A123,Timesheet!$C$2:$C$500,$B123))</f>
        <v/>
      </c>
      <c r="G123" s="14" t="str">
        <f>IF(OR(A123="",B123=""),"",SUMIFS(Purchases!$I$2:$I$500,Purchases!$B$2:$B$500,$A123,Purchases!$C$2:$C$500,$B123))</f>
        <v/>
      </c>
      <c r="H123" s="21" t="str">
        <f t="shared" si="10"/>
        <v/>
      </c>
      <c r="I123" s="21" t="str">
        <f t="shared" si="11"/>
        <v/>
      </c>
      <c r="J123" t="str">
        <f>IFERROR(INDEX(Employees!$C$2:$C$100,MATCH($B123,Employees!$A$2:$A$100,0)),"")</f>
        <v/>
      </c>
      <c r="K123">
        <f>IFERROR(INDEX(Employees!$D$2:$D$100,MATCH($B123,Employees!$A$2:$A$100,0)),0)</f>
        <v>0</v>
      </c>
      <c r="L123">
        <f>IFERROR(INDEX(Employees!$E$2:$E$100,MATCH($B123,Employees!$A$2:$A$100,0)),1)</f>
        <v>1</v>
      </c>
      <c r="M123">
        <f>IFERROR(INDEX(Employees!$F$2:$F$100,MATCH($B123,Employees!$A$2:$A$100,0)),1)</f>
        <v>1</v>
      </c>
    </row>
    <row r="124" spans="1:13">
      <c r="A124" s="5"/>
      <c r="B124" s="5"/>
      <c r="C124" s="13" t="str">
        <f>IF(OR(A124="",B124=""),"",SUMIFS(Timesheet!$I$2:$I$500,Timesheet!$B$2:$B$500,$A124,Timesheet!$C$2:$C$500,$B124))</f>
        <v/>
      </c>
      <c r="D124" s="14" t="str">
        <f>IF(B124="","",IFERROR(INDEX(Employees!$B$2:$B$100,MATCH($B124,Employees!$A$2:$A$100,0)),0))</f>
        <v/>
      </c>
      <c r="E124" s="21" t="str">
        <f t="shared" si="9"/>
        <v/>
      </c>
      <c r="F124" s="14" t="str">
        <f>IF(OR(A124="",B124=""),"",SUMIFS(Timesheet!$K$2:$K$500,Timesheet!$B$2:$B$500,$A124,Timesheet!$C$2:$C$500,$B124))</f>
        <v/>
      </c>
      <c r="G124" s="14" t="str">
        <f>IF(OR(A124="",B124=""),"",SUMIFS(Purchases!$I$2:$I$500,Purchases!$B$2:$B$500,$A124,Purchases!$C$2:$C$500,$B124))</f>
        <v/>
      </c>
      <c r="H124" s="21" t="str">
        <f t="shared" si="10"/>
        <v/>
      </c>
      <c r="I124" s="21" t="str">
        <f t="shared" si="11"/>
        <v/>
      </c>
      <c r="J124" t="str">
        <f>IFERROR(INDEX(Employees!$C$2:$C$100,MATCH($B124,Employees!$A$2:$A$100,0)),"")</f>
        <v/>
      </c>
      <c r="K124">
        <f>IFERROR(INDEX(Employees!$D$2:$D$100,MATCH($B124,Employees!$A$2:$A$100,0)),0)</f>
        <v>0</v>
      </c>
      <c r="L124">
        <f>IFERROR(INDEX(Employees!$E$2:$E$100,MATCH($B124,Employees!$A$2:$A$100,0)),1)</f>
        <v>1</v>
      </c>
      <c r="M124">
        <f>IFERROR(INDEX(Employees!$F$2:$F$100,MATCH($B124,Employees!$A$2:$A$100,0)),1)</f>
        <v>1</v>
      </c>
    </row>
    <row r="125" spans="1:13">
      <c r="A125" s="5"/>
      <c r="B125" s="5"/>
      <c r="C125" s="13" t="str">
        <f>IF(OR(A125="",B125=""),"",SUMIFS(Timesheet!$I$2:$I$500,Timesheet!$B$2:$B$500,$A125,Timesheet!$C$2:$C$500,$B125))</f>
        <v/>
      </c>
      <c r="D125" s="14" t="str">
        <f>IF(B125="","",IFERROR(INDEX(Employees!$B$2:$B$100,MATCH($B125,Employees!$A$2:$A$100,0)),0))</f>
        <v/>
      </c>
      <c r="E125" s="21" t="str">
        <f t="shared" si="9"/>
        <v/>
      </c>
      <c r="F125" s="14" t="str">
        <f>IF(OR(A125="",B125=""),"",SUMIFS(Timesheet!$K$2:$K$500,Timesheet!$B$2:$B$500,$A125,Timesheet!$C$2:$C$500,$B125))</f>
        <v/>
      </c>
      <c r="G125" s="14" t="str">
        <f>IF(OR(A125="",B125=""),"",SUMIFS(Purchases!$I$2:$I$500,Purchases!$B$2:$B$500,$A125,Purchases!$C$2:$C$500,$B125))</f>
        <v/>
      </c>
      <c r="H125" s="21" t="str">
        <f t="shared" si="10"/>
        <v/>
      </c>
      <c r="I125" s="21" t="str">
        <f t="shared" si="11"/>
        <v/>
      </c>
      <c r="J125" t="str">
        <f>IFERROR(INDEX(Employees!$C$2:$C$100,MATCH($B125,Employees!$A$2:$A$100,0)),"")</f>
        <v/>
      </c>
      <c r="K125">
        <f>IFERROR(INDEX(Employees!$D$2:$D$100,MATCH($B125,Employees!$A$2:$A$100,0)),0)</f>
        <v>0</v>
      </c>
      <c r="L125">
        <f>IFERROR(INDEX(Employees!$E$2:$E$100,MATCH($B125,Employees!$A$2:$A$100,0)),1)</f>
        <v>1</v>
      </c>
      <c r="M125">
        <f>IFERROR(INDEX(Employees!$F$2:$F$100,MATCH($B125,Employees!$A$2:$A$100,0)),1)</f>
        <v>1</v>
      </c>
    </row>
    <row r="126" spans="1:13">
      <c r="A126" s="5"/>
      <c r="B126" s="5"/>
      <c r="C126" s="13" t="str">
        <f>IF(OR(A126="",B126=""),"",SUMIFS(Timesheet!$I$2:$I$500,Timesheet!$B$2:$B$500,$A126,Timesheet!$C$2:$C$500,$B126))</f>
        <v/>
      </c>
      <c r="D126" s="14" t="str">
        <f>IF(B126="","",IFERROR(INDEX(Employees!$B$2:$B$100,MATCH($B126,Employees!$A$2:$A$100,0)),0))</f>
        <v/>
      </c>
      <c r="E126" s="21" t="str">
        <f t="shared" si="9"/>
        <v/>
      </c>
      <c r="F126" s="14" t="str">
        <f>IF(OR(A126="",B126=""),"",SUMIFS(Timesheet!$K$2:$K$500,Timesheet!$B$2:$B$500,$A126,Timesheet!$C$2:$C$500,$B126))</f>
        <v/>
      </c>
      <c r="G126" s="14" t="str">
        <f>IF(OR(A126="",B126=""),"",SUMIFS(Purchases!$I$2:$I$500,Purchases!$B$2:$B$500,$A126,Purchases!$C$2:$C$500,$B126))</f>
        <v/>
      </c>
      <c r="H126" s="21" t="str">
        <f t="shared" si="10"/>
        <v/>
      </c>
      <c r="I126" s="21" t="str">
        <f t="shared" si="11"/>
        <v/>
      </c>
      <c r="J126" t="str">
        <f>IFERROR(INDEX(Employees!$C$2:$C$100,MATCH($B126,Employees!$A$2:$A$100,0)),"")</f>
        <v/>
      </c>
      <c r="K126">
        <f>IFERROR(INDEX(Employees!$D$2:$D$100,MATCH($B126,Employees!$A$2:$A$100,0)),0)</f>
        <v>0</v>
      </c>
      <c r="L126">
        <f>IFERROR(INDEX(Employees!$E$2:$E$100,MATCH($B126,Employees!$A$2:$A$100,0)),1)</f>
        <v>1</v>
      </c>
      <c r="M126">
        <f>IFERROR(INDEX(Employees!$F$2:$F$100,MATCH($B126,Employees!$A$2:$A$100,0)),1)</f>
        <v>1</v>
      </c>
    </row>
    <row r="127" spans="1:13">
      <c r="A127" s="5"/>
      <c r="B127" s="5"/>
      <c r="C127" s="13" t="str">
        <f>IF(OR(A127="",B127=""),"",SUMIFS(Timesheet!$I$2:$I$500,Timesheet!$B$2:$B$500,$A127,Timesheet!$C$2:$C$500,$B127))</f>
        <v/>
      </c>
      <c r="D127" s="14" t="str">
        <f>IF(B127="","",IFERROR(INDEX(Employees!$B$2:$B$100,MATCH($B127,Employees!$A$2:$A$100,0)),0))</f>
        <v/>
      </c>
      <c r="E127" s="21" t="str">
        <f t="shared" si="9"/>
        <v/>
      </c>
      <c r="F127" s="14" t="str">
        <f>IF(OR(A127="",B127=""),"",SUMIFS(Timesheet!$K$2:$K$500,Timesheet!$B$2:$B$500,$A127,Timesheet!$C$2:$C$500,$B127))</f>
        <v/>
      </c>
      <c r="G127" s="14" t="str">
        <f>IF(OR(A127="",B127=""),"",SUMIFS(Purchases!$I$2:$I$500,Purchases!$B$2:$B$500,$A127,Purchases!$C$2:$C$500,$B127))</f>
        <v/>
      </c>
      <c r="H127" s="21" t="str">
        <f t="shared" si="10"/>
        <v/>
      </c>
      <c r="I127" s="21" t="str">
        <f t="shared" si="11"/>
        <v/>
      </c>
      <c r="J127" t="str">
        <f>IFERROR(INDEX(Employees!$C$2:$C$100,MATCH($B127,Employees!$A$2:$A$100,0)),"")</f>
        <v/>
      </c>
      <c r="K127">
        <f>IFERROR(INDEX(Employees!$D$2:$D$100,MATCH($B127,Employees!$A$2:$A$100,0)),0)</f>
        <v>0</v>
      </c>
      <c r="L127">
        <f>IFERROR(INDEX(Employees!$E$2:$E$100,MATCH($B127,Employees!$A$2:$A$100,0)),1)</f>
        <v>1</v>
      </c>
      <c r="M127">
        <f>IFERROR(INDEX(Employees!$F$2:$F$100,MATCH($B127,Employees!$A$2:$A$100,0)),1)</f>
        <v>1</v>
      </c>
    </row>
    <row r="128" spans="1:13">
      <c r="A128" s="5"/>
      <c r="B128" s="5"/>
      <c r="C128" s="13" t="str">
        <f>IF(OR(A128="",B128=""),"",SUMIFS(Timesheet!$I$2:$I$500,Timesheet!$B$2:$B$500,$A128,Timesheet!$C$2:$C$500,$B128))</f>
        <v/>
      </c>
      <c r="D128" s="14" t="str">
        <f>IF(B128="","",IFERROR(INDEX(Employees!$B$2:$B$100,MATCH($B128,Employees!$A$2:$A$100,0)),0))</f>
        <v/>
      </c>
      <c r="E128" s="21" t="str">
        <f t="shared" si="9"/>
        <v/>
      </c>
      <c r="F128" s="14" t="str">
        <f>IF(OR(A128="",B128=""),"",SUMIFS(Timesheet!$K$2:$K$500,Timesheet!$B$2:$B$500,$A128,Timesheet!$C$2:$C$500,$B128))</f>
        <v/>
      </c>
      <c r="G128" s="14" t="str">
        <f>IF(OR(A128="",B128=""),"",SUMIFS(Purchases!$I$2:$I$500,Purchases!$B$2:$B$500,$A128,Purchases!$C$2:$C$500,$B128))</f>
        <v/>
      </c>
      <c r="H128" s="21" t="str">
        <f t="shared" si="10"/>
        <v/>
      </c>
      <c r="I128" s="21" t="str">
        <f t="shared" si="11"/>
        <v/>
      </c>
      <c r="J128" t="str">
        <f>IFERROR(INDEX(Employees!$C$2:$C$100,MATCH($B128,Employees!$A$2:$A$100,0)),"")</f>
        <v/>
      </c>
      <c r="K128">
        <f>IFERROR(INDEX(Employees!$D$2:$D$100,MATCH($B128,Employees!$A$2:$A$100,0)),0)</f>
        <v>0</v>
      </c>
      <c r="L128">
        <f>IFERROR(INDEX(Employees!$E$2:$E$100,MATCH($B128,Employees!$A$2:$A$100,0)),1)</f>
        <v>1</v>
      </c>
      <c r="M128">
        <f>IFERROR(INDEX(Employees!$F$2:$F$100,MATCH($B128,Employees!$A$2:$A$100,0)),1)</f>
        <v>1</v>
      </c>
    </row>
    <row r="129" spans="1:13">
      <c r="A129" s="5"/>
      <c r="B129" s="5"/>
      <c r="C129" s="13" t="str">
        <f>IF(OR(A129="",B129=""),"",SUMIFS(Timesheet!$I$2:$I$500,Timesheet!$B$2:$B$500,$A129,Timesheet!$C$2:$C$500,$B129))</f>
        <v/>
      </c>
      <c r="D129" s="14" t="str">
        <f>IF(B129="","",IFERROR(INDEX(Employees!$B$2:$B$100,MATCH($B129,Employees!$A$2:$A$100,0)),0))</f>
        <v/>
      </c>
      <c r="E129" s="21" t="str">
        <f t="shared" si="9"/>
        <v/>
      </c>
      <c r="F129" s="14" t="str">
        <f>IF(OR(A129="",B129=""),"",SUMIFS(Timesheet!$K$2:$K$500,Timesheet!$B$2:$B$500,$A129,Timesheet!$C$2:$C$500,$B129))</f>
        <v/>
      </c>
      <c r="G129" s="14" t="str">
        <f>IF(OR(A129="",B129=""),"",SUMIFS(Purchases!$I$2:$I$500,Purchases!$B$2:$B$500,$A129,Purchases!$C$2:$C$500,$B129))</f>
        <v/>
      </c>
      <c r="H129" s="21" t="str">
        <f t="shared" si="10"/>
        <v/>
      </c>
      <c r="I129" s="21" t="str">
        <f t="shared" si="11"/>
        <v/>
      </c>
      <c r="J129" t="str">
        <f>IFERROR(INDEX(Employees!$C$2:$C$100,MATCH($B129,Employees!$A$2:$A$100,0)),"")</f>
        <v/>
      </c>
      <c r="K129">
        <f>IFERROR(INDEX(Employees!$D$2:$D$100,MATCH($B129,Employees!$A$2:$A$100,0)),0)</f>
        <v>0</v>
      </c>
      <c r="L129">
        <f>IFERROR(INDEX(Employees!$E$2:$E$100,MATCH($B129,Employees!$A$2:$A$100,0)),1)</f>
        <v>1</v>
      </c>
      <c r="M129">
        <f>IFERROR(INDEX(Employees!$F$2:$F$100,MATCH($B129,Employees!$A$2:$A$100,0)),1)</f>
        <v>1</v>
      </c>
    </row>
    <row r="130" spans="1:13">
      <c r="A130" s="5"/>
      <c r="B130" s="5"/>
      <c r="C130" s="13" t="str">
        <f>IF(OR(A130="",B130=""),"",SUMIFS(Timesheet!$I$2:$I$500,Timesheet!$B$2:$B$500,$A130,Timesheet!$C$2:$C$500,$B130))</f>
        <v/>
      </c>
      <c r="D130" s="14" t="str">
        <f>IF(B130="","",IFERROR(INDEX(Employees!$B$2:$B$100,MATCH($B130,Employees!$A$2:$A$100,0)),0))</f>
        <v/>
      </c>
      <c r="E130" s="21" t="str">
        <f t="shared" ref="E130:E161" si="12">IF(C130="","",ROUND(C130*D130,0))</f>
        <v/>
      </c>
      <c r="F130" s="14" t="str">
        <f>IF(OR(A130="",B130=""),"",SUMIFS(Timesheet!$K$2:$K$500,Timesheet!$B$2:$B$500,$A130,Timesheet!$C$2:$C$500,$B130))</f>
        <v/>
      </c>
      <c r="G130" s="14" t="str">
        <f>IF(OR(A130="",B130=""),"",SUMIFS(Purchases!$I$2:$I$500,Purchases!$B$2:$B$500,$A130,Purchases!$C$2:$C$500,$B130))</f>
        <v/>
      </c>
      <c r="H130" s="21" t="str">
        <f t="shared" ref="H130:H161" si="13">IF(G130="","",IF(J130="88折，滿2500再9折",ROUND(G130*L130*IF(G130&gt;=K130,M130,1),0),IF(J130="統一9折",ROUND(G130*M130,0),ROUND(G130,0))))</f>
        <v/>
      </c>
      <c r="I130" s="21" t="str">
        <f t="shared" ref="I130:I161" si="14">IF(E130="","",E130+F130-H130)</f>
        <v/>
      </c>
      <c r="J130" t="str">
        <f>IFERROR(INDEX(Employees!$C$2:$C$100,MATCH($B130,Employees!$A$2:$A$100,0)),"")</f>
        <v/>
      </c>
      <c r="K130">
        <f>IFERROR(INDEX(Employees!$D$2:$D$100,MATCH($B130,Employees!$A$2:$A$100,0)),0)</f>
        <v>0</v>
      </c>
      <c r="L130">
        <f>IFERROR(INDEX(Employees!$E$2:$E$100,MATCH($B130,Employees!$A$2:$A$100,0)),1)</f>
        <v>1</v>
      </c>
      <c r="M130">
        <f>IFERROR(INDEX(Employees!$F$2:$F$100,MATCH($B130,Employees!$A$2:$A$100,0)),1)</f>
        <v>1</v>
      </c>
    </row>
    <row r="131" spans="1:13">
      <c r="A131" s="5"/>
      <c r="B131" s="5"/>
      <c r="C131" s="13" t="str">
        <f>IF(OR(A131="",B131=""),"",SUMIFS(Timesheet!$I$2:$I$500,Timesheet!$B$2:$B$500,$A131,Timesheet!$C$2:$C$500,$B131))</f>
        <v/>
      </c>
      <c r="D131" s="14" t="str">
        <f>IF(B131="","",IFERROR(INDEX(Employees!$B$2:$B$100,MATCH($B131,Employees!$A$2:$A$100,0)),0))</f>
        <v/>
      </c>
      <c r="E131" s="21" t="str">
        <f t="shared" si="12"/>
        <v/>
      </c>
      <c r="F131" s="14" t="str">
        <f>IF(OR(A131="",B131=""),"",SUMIFS(Timesheet!$K$2:$K$500,Timesheet!$B$2:$B$500,$A131,Timesheet!$C$2:$C$500,$B131))</f>
        <v/>
      </c>
      <c r="G131" s="14" t="str">
        <f>IF(OR(A131="",B131=""),"",SUMIFS(Purchases!$I$2:$I$500,Purchases!$B$2:$B$500,$A131,Purchases!$C$2:$C$500,$B131))</f>
        <v/>
      </c>
      <c r="H131" s="21" t="str">
        <f t="shared" si="13"/>
        <v/>
      </c>
      <c r="I131" s="21" t="str">
        <f t="shared" si="14"/>
        <v/>
      </c>
      <c r="J131" t="str">
        <f>IFERROR(INDEX(Employees!$C$2:$C$100,MATCH($B131,Employees!$A$2:$A$100,0)),"")</f>
        <v/>
      </c>
      <c r="K131">
        <f>IFERROR(INDEX(Employees!$D$2:$D$100,MATCH($B131,Employees!$A$2:$A$100,0)),0)</f>
        <v>0</v>
      </c>
      <c r="L131">
        <f>IFERROR(INDEX(Employees!$E$2:$E$100,MATCH($B131,Employees!$A$2:$A$100,0)),1)</f>
        <v>1</v>
      </c>
      <c r="M131">
        <f>IFERROR(INDEX(Employees!$F$2:$F$100,MATCH($B131,Employees!$A$2:$A$100,0)),1)</f>
        <v>1</v>
      </c>
    </row>
    <row r="132" spans="1:13">
      <c r="A132" s="5"/>
      <c r="B132" s="5"/>
      <c r="C132" s="13" t="str">
        <f>IF(OR(A132="",B132=""),"",SUMIFS(Timesheet!$I$2:$I$500,Timesheet!$B$2:$B$500,$A132,Timesheet!$C$2:$C$500,$B132))</f>
        <v/>
      </c>
      <c r="D132" s="14" t="str">
        <f>IF(B132="","",IFERROR(INDEX(Employees!$B$2:$B$100,MATCH($B132,Employees!$A$2:$A$100,0)),0))</f>
        <v/>
      </c>
      <c r="E132" s="21" t="str">
        <f t="shared" si="12"/>
        <v/>
      </c>
      <c r="F132" s="14" t="str">
        <f>IF(OR(A132="",B132=""),"",SUMIFS(Timesheet!$K$2:$K$500,Timesheet!$B$2:$B$500,$A132,Timesheet!$C$2:$C$500,$B132))</f>
        <v/>
      </c>
      <c r="G132" s="14" t="str">
        <f>IF(OR(A132="",B132=""),"",SUMIFS(Purchases!$I$2:$I$500,Purchases!$B$2:$B$500,$A132,Purchases!$C$2:$C$500,$B132))</f>
        <v/>
      </c>
      <c r="H132" s="21" t="str">
        <f t="shared" si="13"/>
        <v/>
      </c>
      <c r="I132" s="21" t="str">
        <f t="shared" si="14"/>
        <v/>
      </c>
      <c r="J132" t="str">
        <f>IFERROR(INDEX(Employees!$C$2:$C$100,MATCH($B132,Employees!$A$2:$A$100,0)),"")</f>
        <v/>
      </c>
      <c r="K132">
        <f>IFERROR(INDEX(Employees!$D$2:$D$100,MATCH($B132,Employees!$A$2:$A$100,0)),0)</f>
        <v>0</v>
      </c>
      <c r="L132">
        <f>IFERROR(INDEX(Employees!$E$2:$E$100,MATCH($B132,Employees!$A$2:$A$100,0)),1)</f>
        <v>1</v>
      </c>
      <c r="M132">
        <f>IFERROR(INDEX(Employees!$F$2:$F$100,MATCH($B132,Employees!$A$2:$A$100,0)),1)</f>
        <v>1</v>
      </c>
    </row>
    <row r="133" spans="1:13">
      <c r="A133" s="5"/>
      <c r="B133" s="5"/>
      <c r="C133" s="13" t="str">
        <f>IF(OR(A133="",B133=""),"",SUMIFS(Timesheet!$I$2:$I$500,Timesheet!$B$2:$B$500,$A133,Timesheet!$C$2:$C$500,$B133))</f>
        <v/>
      </c>
      <c r="D133" s="14" t="str">
        <f>IF(B133="","",IFERROR(INDEX(Employees!$B$2:$B$100,MATCH($B133,Employees!$A$2:$A$100,0)),0))</f>
        <v/>
      </c>
      <c r="E133" s="21" t="str">
        <f t="shared" si="12"/>
        <v/>
      </c>
      <c r="F133" s="14" t="str">
        <f>IF(OR(A133="",B133=""),"",SUMIFS(Timesheet!$K$2:$K$500,Timesheet!$B$2:$B$500,$A133,Timesheet!$C$2:$C$500,$B133))</f>
        <v/>
      </c>
      <c r="G133" s="14" t="str">
        <f>IF(OR(A133="",B133=""),"",SUMIFS(Purchases!$I$2:$I$500,Purchases!$B$2:$B$500,$A133,Purchases!$C$2:$C$500,$B133))</f>
        <v/>
      </c>
      <c r="H133" s="21" t="str">
        <f t="shared" si="13"/>
        <v/>
      </c>
      <c r="I133" s="21" t="str">
        <f t="shared" si="14"/>
        <v/>
      </c>
      <c r="J133" t="str">
        <f>IFERROR(INDEX(Employees!$C$2:$C$100,MATCH($B133,Employees!$A$2:$A$100,0)),"")</f>
        <v/>
      </c>
      <c r="K133">
        <f>IFERROR(INDEX(Employees!$D$2:$D$100,MATCH($B133,Employees!$A$2:$A$100,0)),0)</f>
        <v>0</v>
      </c>
      <c r="L133">
        <f>IFERROR(INDEX(Employees!$E$2:$E$100,MATCH($B133,Employees!$A$2:$A$100,0)),1)</f>
        <v>1</v>
      </c>
      <c r="M133">
        <f>IFERROR(INDEX(Employees!$F$2:$F$100,MATCH($B133,Employees!$A$2:$A$100,0)),1)</f>
        <v>1</v>
      </c>
    </row>
    <row r="134" spans="1:13">
      <c r="A134" s="5"/>
      <c r="B134" s="5"/>
      <c r="C134" s="13" t="str">
        <f>IF(OR(A134="",B134=""),"",SUMIFS(Timesheet!$I$2:$I$500,Timesheet!$B$2:$B$500,$A134,Timesheet!$C$2:$C$500,$B134))</f>
        <v/>
      </c>
      <c r="D134" s="14" t="str">
        <f>IF(B134="","",IFERROR(INDEX(Employees!$B$2:$B$100,MATCH($B134,Employees!$A$2:$A$100,0)),0))</f>
        <v/>
      </c>
      <c r="E134" s="21" t="str">
        <f t="shared" si="12"/>
        <v/>
      </c>
      <c r="F134" s="14" t="str">
        <f>IF(OR(A134="",B134=""),"",SUMIFS(Timesheet!$K$2:$K$500,Timesheet!$B$2:$B$500,$A134,Timesheet!$C$2:$C$500,$B134))</f>
        <v/>
      </c>
      <c r="G134" s="14" t="str">
        <f>IF(OR(A134="",B134=""),"",SUMIFS(Purchases!$I$2:$I$500,Purchases!$B$2:$B$500,$A134,Purchases!$C$2:$C$500,$B134))</f>
        <v/>
      </c>
      <c r="H134" s="21" t="str">
        <f t="shared" si="13"/>
        <v/>
      </c>
      <c r="I134" s="21" t="str">
        <f t="shared" si="14"/>
        <v/>
      </c>
      <c r="J134" t="str">
        <f>IFERROR(INDEX(Employees!$C$2:$C$100,MATCH($B134,Employees!$A$2:$A$100,0)),"")</f>
        <v/>
      </c>
      <c r="K134">
        <f>IFERROR(INDEX(Employees!$D$2:$D$100,MATCH($B134,Employees!$A$2:$A$100,0)),0)</f>
        <v>0</v>
      </c>
      <c r="L134">
        <f>IFERROR(INDEX(Employees!$E$2:$E$100,MATCH($B134,Employees!$A$2:$A$100,0)),1)</f>
        <v>1</v>
      </c>
      <c r="M134">
        <f>IFERROR(INDEX(Employees!$F$2:$F$100,MATCH($B134,Employees!$A$2:$A$100,0)),1)</f>
        <v>1</v>
      </c>
    </row>
    <row r="135" spans="1:13">
      <c r="A135" s="5"/>
      <c r="B135" s="5"/>
      <c r="C135" s="13" t="str">
        <f>IF(OR(A135="",B135=""),"",SUMIFS(Timesheet!$I$2:$I$500,Timesheet!$B$2:$B$500,$A135,Timesheet!$C$2:$C$500,$B135))</f>
        <v/>
      </c>
      <c r="D135" s="14" t="str">
        <f>IF(B135="","",IFERROR(INDEX(Employees!$B$2:$B$100,MATCH($B135,Employees!$A$2:$A$100,0)),0))</f>
        <v/>
      </c>
      <c r="E135" s="21" t="str">
        <f t="shared" si="12"/>
        <v/>
      </c>
      <c r="F135" s="14" t="str">
        <f>IF(OR(A135="",B135=""),"",SUMIFS(Timesheet!$K$2:$K$500,Timesheet!$B$2:$B$500,$A135,Timesheet!$C$2:$C$500,$B135))</f>
        <v/>
      </c>
      <c r="G135" s="14" t="str">
        <f>IF(OR(A135="",B135=""),"",SUMIFS(Purchases!$I$2:$I$500,Purchases!$B$2:$B$500,$A135,Purchases!$C$2:$C$500,$B135))</f>
        <v/>
      </c>
      <c r="H135" s="21" t="str">
        <f t="shared" si="13"/>
        <v/>
      </c>
      <c r="I135" s="21" t="str">
        <f t="shared" si="14"/>
        <v/>
      </c>
      <c r="J135" t="str">
        <f>IFERROR(INDEX(Employees!$C$2:$C$100,MATCH($B135,Employees!$A$2:$A$100,0)),"")</f>
        <v/>
      </c>
      <c r="K135">
        <f>IFERROR(INDEX(Employees!$D$2:$D$100,MATCH($B135,Employees!$A$2:$A$100,0)),0)</f>
        <v>0</v>
      </c>
      <c r="L135">
        <f>IFERROR(INDEX(Employees!$E$2:$E$100,MATCH($B135,Employees!$A$2:$A$100,0)),1)</f>
        <v>1</v>
      </c>
      <c r="M135">
        <f>IFERROR(INDEX(Employees!$F$2:$F$100,MATCH($B135,Employees!$A$2:$A$100,0)),1)</f>
        <v>1</v>
      </c>
    </row>
    <row r="136" spans="1:13">
      <c r="A136" s="5"/>
      <c r="B136" s="5"/>
      <c r="C136" s="13" t="str">
        <f>IF(OR(A136="",B136=""),"",SUMIFS(Timesheet!$I$2:$I$500,Timesheet!$B$2:$B$500,$A136,Timesheet!$C$2:$C$500,$B136))</f>
        <v/>
      </c>
      <c r="D136" s="14" t="str">
        <f>IF(B136="","",IFERROR(INDEX(Employees!$B$2:$B$100,MATCH($B136,Employees!$A$2:$A$100,0)),0))</f>
        <v/>
      </c>
      <c r="E136" s="21" t="str">
        <f t="shared" si="12"/>
        <v/>
      </c>
      <c r="F136" s="14" t="str">
        <f>IF(OR(A136="",B136=""),"",SUMIFS(Timesheet!$K$2:$K$500,Timesheet!$B$2:$B$500,$A136,Timesheet!$C$2:$C$500,$B136))</f>
        <v/>
      </c>
      <c r="G136" s="14" t="str">
        <f>IF(OR(A136="",B136=""),"",SUMIFS(Purchases!$I$2:$I$500,Purchases!$B$2:$B$500,$A136,Purchases!$C$2:$C$500,$B136))</f>
        <v/>
      </c>
      <c r="H136" s="21" t="str">
        <f t="shared" si="13"/>
        <v/>
      </c>
      <c r="I136" s="21" t="str">
        <f t="shared" si="14"/>
        <v/>
      </c>
      <c r="J136" t="str">
        <f>IFERROR(INDEX(Employees!$C$2:$C$100,MATCH($B136,Employees!$A$2:$A$100,0)),"")</f>
        <v/>
      </c>
      <c r="K136">
        <f>IFERROR(INDEX(Employees!$D$2:$D$100,MATCH($B136,Employees!$A$2:$A$100,0)),0)</f>
        <v>0</v>
      </c>
      <c r="L136">
        <f>IFERROR(INDEX(Employees!$E$2:$E$100,MATCH($B136,Employees!$A$2:$A$100,0)),1)</f>
        <v>1</v>
      </c>
      <c r="M136">
        <f>IFERROR(INDEX(Employees!$F$2:$F$100,MATCH($B136,Employees!$A$2:$A$100,0)),1)</f>
        <v>1</v>
      </c>
    </row>
    <row r="137" spans="1:13">
      <c r="A137" s="5"/>
      <c r="B137" s="5"/>
      <c r="C137" s="13" t="str">
        <f>IF(OR(A137="",B137=""),"",SUMIFS(Timesheet!$I$2:$I$500,Timesheet!$B$2:$B$500,$A137,Timesheet!$C$2:$C$500,$B137))</f>
        <v/>
      </c>
      <c r="D137" s="14" t="str">
        <f>IF(B137="","",IFERROR(INDEX(Employees!$B$2:$B$100,MATCH($B137,Employees!$A$2:$A$100,0)),0))</f>
        <v/>
      </c>
      <c r="E137" s="21" t="str">
        <f t="shared" si="12"/>
        <v/>
      </c>
      <c r="F137" s="14" t="str">
        <f>IF(OR(A137="",B137=""),"",SUMIFS(Timesheet!$K$2:$K$500,Timesheet!$B$2:$B$500,$A137,Timesheet!$C$2:$C$500,$B137))</f>
        <v/>
      </c>
      <c r="G137" s="14" t="str">
        <f>IF(OR(A137="",B137=""),"",SUMIFS(Purchases!$I$2:$I$500,Purchases!$B$2:$B$500,$A137,Purchases!$C$2:$C$500,$B137))</f>
        <v/>
      </c>
      <c r="H137" s="21" t="str">
        <f t="shared" si="13"/>
        <v/>
      </c>
      <c r="I137" s="21" t="str">
        <f t="shared" si="14"/>
        <v/>
      </c>
      <c r="J137" t="str">
        <f>IFERROR(INDEX(Employees!$C$2:$C$100,MATCH($B137,Employees!$A$2:$A$100,0)),"")</f>
        <v/>
      </c>
      <c r="K137">
        <f>IFERROR(INDEX(Employees!$D$2:$D$100,MATCH($B137,Employees!$A$2:$A$100,0)),0)</f>
        <v>0</v>
      </c>
      <c r="L137">
        <f>IFERROR(INDEX(Employees!$E$2:$E$100,MATCH($B137,Employees!$A$2:$A$100,0)),1)</f>
        <v>1</v>
      </c>
      <c r="M137">
        <f>IFERROR(INDEX(Employees!$F$2:$F$100,MATCH($B137,Employees!$A$2:$A$100,0)),1)</f>
        <v>1</v>
      </c>
    </row>
    <row r="138" spans="1:13">
      <c r="A138" s="5"/>
      <c r="B138" s="5"/>
      <c r="C138" s="13" t="str">
        <f>IF(OR(A138="",B138=""),"",SUMIFS(Timesheet!$I$2:$I$500,Timesheet!$B$2:$B$500,$A138,Timesheet!$C$2:$C$500,$B138))</f>
        <v/>
      </c>
      <c r="D138" s="14" t="str">
        <f>IF(B138="","",IFERROR(INDEX(Employees!$B$2:$B$100,MATCH($B138,Employees!$A$2:$A$100,0)),0))</f>
        <v/>
      </c>
      <c r="E138" s="21" t="str">
        <f t="shared" si="12"/>
        <v/>
      </c>
      <c r="F138" s="14" t="str">
        <f>IF(OR(A138="",B138=""),"",SUMIFS(Timesheet!$K$2:$K$500,Timesheet!$B$2:$B$500,$A138,Timesheet!$C$2:$C$500,$B138))</f>
        <v/>
      </c>
      <c r="G138" s="14" t="str">
        <f>IF(OR(A138="",B138=""),"",SUMIFS(Purchases!$I$2:$I$500,Purchases!$B$2:$B$500,$A138,Purchases!$C$2:$C$500,$B138))</f>
        <v/>
      </c>
      <c r="H138" s="21" t="str">
        <f t="shared" si="13"/>
        <v/>
      </c>
      <c r="I138" s="21" t="str">
        <f t="shared" si="14"/>
        <v/>
      </c>
      <c r="J138" t="str">
        <f>IFERROR(INDEX(Employees!$C$2:$C$100,MATCH($B138,Employees!$A$2:$A$100,0)),"")</f>
        <v/>
      </c>
      <c r="K138">
        <f>IFERROR(INDEX(Employees!$D$2:$D$100,MATCH($B138,Employees!$A$2:$A$100,0)),0)</f>
        <v>0</v>
      </c>
      <c r="L138">
        <f>IFERROR(INDEX(Employees!$E$2:$E$100,MATCH($B138,Employees!$A$2:$A$100,0)),1)</f>
        <v>1</v>
      </c>
      <c r="M138">
        <f>IFERROR(INDEX(Employees!$F$2:$F$100,MATCH($B138,Employees!$A$2:$A$100,0)),1)</f>
        <v>1</v>
      </c>
    </row>
    <row r="139" spans="1:13">
      <c r="A139" s="5"/>
      <c r="B139" s="5"/>
      <c r="C139" s="13" t="str">
        <f>IF(OR(A139="",B139=""),"",SUMIFS(Timesheet!$I$2:$I$500,Timesheet!$B$2:$B$500,$A139,Timesheet!$C$2:$C$500,$B139))</f>
        <v/>
      </c>
      <c r="D139" s="14" t="str">
        <f>IF(B139="","",IFERROR(INDEX(Employees!$B$2:$B$100,MATCH($B139,Employees!$A$2:$A$100,0)),0))</f>
        <v/>
      </c>
      <c r="E139" s="21" t="str">
        <f t="shared" si="12"/>
        <v/>
      </c>
      <c r="F139" s="14" t="str">
        <f>IF(OR(A139="",B139=""),"",SUMIFS(Timesheet!$K$2:$K$500,Timesheet!$B$2:$B$500,$A139,Timesheet!$C$2:$C$500,$B139))</f>
        <v/>
      </c>
      <c r="G139" s="14" t="str">
        <f>IF(OR(A139="",B139=""),"",SUMIFS(Purchases!$I$2:$I$500,Purchases!$B$2:$B$500,$A139,Purchases!$C$2:$C$500,$B139))</f>
        <v/>
      </c>
      <c r="H139" s="21" t="str">
        <f t="shared" si="13"/>
        <v/>
      </c>
      <c r="I139" s="21" t="str">
        <f t="shared" si="14"/>
        <v/>
      </c>
      <c r="J139" t="str">
        <f>IFERROR(INDEX(Employees!$C$2:$C$100,MATCH($B139,Employees!$A$2:$A$100,0)),"")</f>
        <v/>
      </c>
      <c r="K139">
        <f>IFERROR(INDEX(Employees!$D$2:$D$100,MATCH($B139,Employees!$A$2:$A$100,0)),0)</f>
        <v>0</v>
      </c>
      <c r="L139">
        <f>IFERROR(INDEX(Employees!$E$2:$E$100,MATCH($B139,Employees!$A$2:$A$100,0)),1)</f>
        <v>1</v>
      </c>
      <c r="M139">
        <f>IFERROR(INDEX(Employees!$F$2:$F$100,MATCH($B139,Employees!$A$2:$A$100,0)),1)</f>
        <v>1</v>
      </c>
    </row>
    <row r="140" spans="1:13">
      <c r="A140" s="5"/>
      <c r="B140" s="5"/>
      <c r="C140" s="13" t="str">
        <f>IF(OR(A140="",B140=""),"",SUMIFS(Timesheet!$I$2:$I$500,Timesheet!$B$2:$B$500,$A140,Timesheet!$C$2:$C$500,$B140))</f>
        <v/>
      </c>
      <c r="D140" s="14" t="str">
        <f>IF(B140="","",IFERROR(INDEX(Employees!$B$2:$B$100,MATCH($B140,Employees!$A$2:$A$100,0)),0))</f>
        <v/>
      </c>
      <c r="E140" s="21" t="str">
        <f t="shared" si="12"/>
        <v/>
      </c>
      <c r="F140" s="14" t="str">
        <f>IF(OR(A140="",B140=""),"",SUMIFS(Timesheet!$K$2:$K$500,Timesheet!$B$2:$B$500,$A140,Timesheet!$C$2:$C$500,$B140))</f>
        <v/>
      </c>
      <c r="G140" s="14" t="str">
        <f>IF(OR(A140="",B140=""),"",SUMIFS(Purchases!$I$2:$I$500,Purchases!$B$2:$B$500,$A140,Purchases!$C$2:$C$500,$B140))</f>
        <v/>
      </c>
      <c r="H140" s="21" t="str">
        <f t="shared" si="13"/>
        <v/>
      </c>
      <c r="I140" s="21" t="str">
        <f t="shared" si="14"/>
        <v/>
      </c>
      <c r="J140" t="str">
        <f>IFERROR(INDEX(Employees!$C$2:$C$100,MATCH($B140,Employees!$A$2:$A$100,0)),"")</f>
        <v/>
      </c>
      <c r="K140">
        <f>IFERROR(INDEX(Employees!$D$2:$D$100,MATCH($B140,Employees!$A$2:$A$100,0)),0)</f>
        <v>0</v>
      </c>
      <c r="L140">
        <f>IFERROR(INDEX(Employees!$E$2:$E$100,MATCH($B140,Employees!$A$2:$A$100,0)),1)</f>
        <v>1</v>
      </c>
      <c r="M140">
        <f>IFERROR(INDEX(Employees!$F$2:$F$100,MATCH($B140,Employees!$A$2:$A$100,0)),1)</f>
        <v>1</v>
      </c>
    </row>
    <row r="141" spans="1:13">
      <c r="A141" s="5"/>
      <c r="B141" s="5"/>
      <c r="C141" s="13" t="str">
        <f>IF(OR(A141="",B141=""),"",SUMIFS(Timesheet!$I$2:$I$500,Timesheet!$B$2:$B$500,$A141,Timesheet!$C$2:$C$500,$B141))</f>
        <v/>
      </c>
      <c r="D141" s="14" t="str">
        <f>IF(B141="","",IFERROR(INDEX(Employees!$B$2:$B$100,MATCH($B141,Employees!$A$2:$A$100,0)),0))</f>
        <v/>
      </c>
      <c r="E141" s="21" t="str">
        <f t="shared" si="12"/>
        <v/>
      </c>
      <c r="F141" s="14" t="str">
        <f>IF(OR(A141="",B141=""),"",SUMIFS(Timesheet!$K$2:$K$500,Timesheet!$B$2:$B$500,$A141,Timesheet!$C$2:$C$500,$B141))</f>
        <v/>
      </c>
      <c r="G141" s="14" t="str">
        <f>IF(OR(A141="",B141=""),"",SUMIFS(Purchases!$I$2:$I$500,Purchases!$B$2:$B$500,$A141,Purchases!$C$2:$C$500,$B141))</f>
        <v/>
      </c>
      <c r="H141" s="21" t="str">
        <f t="shared" si="13"/>
        <v/>
      </c>
      <c r="I141" s="21" t="str">
        <f t="shared" si="14"/>
        <v/>
      </c>
      <c r="J141" t="str">
        <f>IFERROR(INDEX(Employees!$C$2:$C$100,MATCH($B141,Employees!$A$2:$A$100,0)),"")</f>
        <v/>
      </c>
      <c r="K141">
        <f>IFERROR(INDEX(Employees!$D$2:$D$100,MATCH($B141,Employees!$A$2:$A$100,0)),0)</f>
        <v>0</v>
      </c>
      <c r="L141">
        <f>IFERROR(INDEX(Employees!$E$2:$E$100,MATCH($B141,Employees!$A$2:$A$100,0)),1)</f>
        <v>1</v>
      </c>
      <c r="M141">
        <f>IFERROR(INDEX(Employees!$F$2:$F$100,MATCH($B141,Employees!$A$2:$A$100,0)),1)</f>
        <v>1</v>
      </c>
    </row>
    <row r="142" spans="1:13">
      <c r="A142" s="5"/>
      <c r="B142" s="5"/>
      <c r="C142" s="13" t="str">
        <f>IF(OR(A142="",B142=""),"",SUMIFS(Timesheet!$I$2:$I$500,Timesheet!$B$2:$B$500,$A142,Timesheet!$C$2:$C$500,$B142))</f>
        <v/>
      </c>
      <c r="D142" s="14" t="str">
        <f>IF(B142="","",IFERROR(INDEX(Employees!$B$2:$B$100,MATCH($B142,Employees!$A$2:$A$100,0)),0))</f>
        <v/>
      </c>
      <c r="E142" s="21" t="str">
        <f t="shared" si="12"/>
        <v/>
      </c>
      <c r="F142" s="14" t="str">
        <f>IF(OR(A142="",B142=""),"",SUMIFS(Timesheet!$K$2:$K$500,Timesheet!$B$2:$B$500,$A142,Timesheet!$C$2:$C$500,$B142))</f>
        <v/>
      </c>
      <c r="G142" s="14" t="str">
        <f>IF(OR(A142="",B142=""),"",SUMIFS(Purchases!$I$2:$I$500,Purchases!$B$2:$B$500,$A142,Purchases!$C$2:$C$500,$B142))</f>
        <v/>
      </c>
      <c r="H142" s="21" t="str">
        <f t="shared" si="13"/>
        <v/>
      </c>
      <c r="I142" s="21" t="str">
        <f t="shared" si="14"/>
        <v/>
      </c>
      <c r="J142" t="str">
        <f>IFERROR(INDEX(Employees!$C$2:$C$100,MATCH($B142,Employees!$A$2:$A$100,0)),"")</f>
        <v/>
      </c>
      <c r="K142">
        <f>IFERROR(INDEX(Employees!$D$2:$D$100,MATCH($B142,Employees!$A$2:$A$100,0)),0)</f>
        <v>0</v>
      </c>
      <c r="L142">
        <f>IFERROR(INDEX(Employees!$E$2:$E$100,MATCH($B142,Employees!$A$2:$A$100,0)),1)</f>
        <v>1</v>
      </c>
      <c r="M142">
        <f>IFERROR(INDEX(Employees!$F$2:$F$100,MATCH($B142,Employees!$A$2:$A$100,0)),1)</f>
        <v>1</v>
      </c>
    </row>
    <row r="143" spans="1:13">
      <c r="A143" s="5"/>
      <c r="B143" s="5"/>
      <c r="C143" s="13" t="str">
        <f>IF(OR(A143="",B143=""),"",SUMIFS(Timesheet!$I$2:$I$500,Timesheet!$B$2:$B$500,$A143,Timesheet!$C$2:$C$500,$B143))</f>
        <v/>
      </c>
      <c r="D143" s="14" t="str">
        <f>IF(B143="","",IFERROR(INDEX(Employees!$B$2:$B$100,MATCH($B143,Employees!$A$2:$A$100,0)),0))</f>
        <v/>
      </c>
      <c r="E143" s="21" t="str">
        <f t="shared" si="12"/>
        <v/>
      </c>
      <c r="F143" s="14" t="str">
        <f>IF(OR(A143="",B143=""),"",SUMIFS(Timesheet!$K$2:$K$500,Timesheet!$B$2:$B$500,$A143,Timesheet!$C$2:$C$500,$B143))</f>
        <v/>
      </c>
      <c r="G143" s="14" t="str">
        <f>IF(OR(A143="",B143=""),"",SUMIFS(Purchases!$I$2:$I$500,Purchases!$B$2:$B$500,$A143,Purchases!$C$2:$C$500,$B143))</f>
        <v/>
      </c>
      <c r="H143" s="21" t="str">
        <f t="shared" si="13"/>
        <v/>
      </c>
      <c r="I143" s="21" t="str">
        <f t="shared" si="14"/>
        <v/>
      </c>
      <c r="J143" t="str">
        <f>IFERROR(INDEX(Employees!$C$2:$C$100,MATCH($B143,Employees!$A$2:$A$100,0)),"")</f>
        <v/>
      </c>
      <c r="K143">
        <f>IFERROR(INDEX(Employees!$D$2:$D$100,MATCH($B143,Employees!$A$2:$A$100,0)),0)</f>
        <v>0</v>
      </c>
      <c r="L143">
        <f>IFERROR(INDEX(Employees!$E$2:$E$100,MATCH($B143,Employees!$A$2:$A$100,0)),1)</f>
        <v>1</v>
      </c>
      <c r="M143">
        <f>IFERROR(INDEX(Employees!$F$2:$F$100,MATCH($B143,Employees!$A$2:$A$100,0)),1)</f>
        <v>1</v>
      </c>
    </row>
    <row r="144" spans="1:13">
      <c r="A144" s="5"/>
      <c r="B144" s="5"/>
      <c r="C144" s="13" t="str">
        <f>IF(OR(A144="",B144=""),"",SUMIFS(Timesheet!$I$2:$I$500,Timesheet!$B$2:$B$500,$A144,Timesheet!$C$2:$C$500,$B144))</f>
        <v/>
      </c>
      <c r="D144" s="14" t="str">
        <f>IF(B144="","",IFERROR(INDEX(Employees!$B$2:$B$100,MATCH($B144,Employees!$A$2:$A$100,0)),0))</f>
        <v/>
      </c>
      <c r="E144" s="21" t="str">
        <f t="shared" si="12"/>
        <v/>
      </c>
      <c r="F144" s="14" t="str">
        <f>IF(OR(A144="",B144=""),"",SUMIFS(Timesheet!$K$2:$K$500,Timesheet!$B$2:$B$500,$A144,Timesheet!$C$2:$C$500,$B144))</f>
        <v/>
      </c>
      <c r="G144" s="14" t="str">
        <f>IF(OR(A144="",B144=""),"",SUMIFS(Purchases!$I$2:$I$500,Purchases!$B$2:$B$500,$A144,Purchases!$C$2:$C$500,$B144))</f>
        <v/>
      </c>
      <c r="H144" s="21" t="str">
        <f t="shared" si="13"/>
        <v/>
      </c>
      <c r="I144" s="21" t="str">
        <f t="shared" si="14"/>
        <v/>
      </c>
      <c r="J144" t="str">
        <f>IFERROR(INDEX(Employees!$C$2:$C$100,MATCH($B144,Employees!$A$2:$A$100,0)),"")</f>
        <v/>
      </c>
      <c r="K144">
        <f>IFERROR(INDEX(Employees!$D$2:$D$100,MATCH($B144,Employees!$A$2:$A$100,0)),0)</f>
        <v>0</v>
      </c>
      <c r="L144">
        <f>IFERROR(INDEX(Employees!$E$2:$E$100,MATCH($B144,Employees!$A$2:$A$100,0)),1)</f>
        <v>1</v>
      </c>
      <c r="M144">
        <f>IFERROR(INDEX(Employees!$F$2:$F$100,MATCH($B144,Employees!$A$2:$A$100,0)),1)</f>
        <v>1</v>
      </c>
    </row>
    <row r="145" spans="1:13">
      <c r="A145" s="5"/>
      <c r="B145" s="5"/>
      <c r="C145" s="13" t="str">
        <f>IF(OR(A145="",B145=""),"",SUMIFS(Timesheet!$I$2:$I$500,Timesheet!$B$2:$B$500,$A145,Timesheet!$C$2:$C$500,$B145))</f>
        <v/>
      </c>
      <c r="D145" s="14" t="str">
        <f>IF(B145="","",IFERROR(INDEX(Employees!$B$2:$B$100,MATCH($B145,Employees!$A$2:$A$100,0)),0))</f>
        <v/>
      </c>
      <c r="E145" s="21" t="str">
        <f t="shared" si="12"/>
        <v/>
      </c>
      <c r="F145" s="14" t="str">
        <f>IF(OR(A145="",B145=""),"",SUMIFS(Timesheet!$K$2:$K$500,Timesheet!$B$2:$B$500,$A145,Timesheet!$C$2:$C$500,$B145))</f>
        <v/>
      </c>
      <c r="G145" s="14" t="str">
        <f>IF(OR(A145="",B145=""),"",SUMIFS(Purchases!$I$2:$I$500,Purchases!$B$2:$B$500,$A145,Purchases!$C$2:$C$500,$B145))</f>
        <v/>
      </c>
      <c r="H145" s="21" t="str">
        <f t="shared" si="13"/>
        <v/>
      </c>
      <c r="I145" s="21" t="str">
        <f t="shared" si="14"/>
        <v/>
      </c>
      <c r="J145" t="str">
        <f>IFERROR(INDEX(Employees!$C$2:$C$100,MATCH($B145,Employees!$A$2:$A$100,0)),"")</f>
        <v/>
      </c>
      <c r="K145">
        <f>IFERROR(INDEX(Employees!$D$2:$D$100,MATCH($B145,Employees!$A$2:$A$100,0)),0)</f>
        <v>0</v>
      </c>
      <c r="L145">
        <f>IFERROR(INDEX(Employees!$E$2:$E$100,MATCH($B145,Employees!$A$2:$A$100,0)),1)</f>
        <v>1</v>
      </c>
      <c r="M145">
        <f>IFERROR(INDEX(Employees!$F$2:$F$100,MATCH($B145,Employees!$A$2:$A$100,0)),1)</f>
        <v>1</v>
      </c>
    </row>
    <row r="146" spans="1:13">
      <c r="A146" s="5"/>
      <c r="B146" s="5"/>
      <c r="C146" s="13" t="str">
        <f>IF(OR(A146="",B146=""),"",SUMIFS(Timesheet!$I$2:$I$500,Timesheet!$B$2:$B$500,$A146,Timesheet!$C$2:$C$500,$B146))</f>
        <v/>
      </c>
      <c r="D146" s="14" t="str">
        <f>IF(B146="","",IFERROR(INDEX(Employees!$B$2:$B$100,MATCH($B146,Employees!$A$2:$A$100,0)),0))</f>
        <v/>
      </c>
      <c r="E146" s="21" t="str">
        <f t="shared" si="12"/>
        <v/>
      </c>
      <c r="F146" s="14" t="str">
        <f>IF(OR(A146="",B146=""),"",SUMIFS(Timesheet!$K$2:$K$500,Timesheet!$B$2:$B$500,$A146,Timesheet!$C$2:$C$500,$B146))</f>
        <v/>
      </c>
      <c r="G146" s="14" t="str">
        <f>IF(OR(A146="",B146=""),"",SUMIFS(Purchases!$I$2:$I$500,Purchases!$B$2:$B$500,$A146,Purchases!$C$2:$C$500,$B146))</f>
        <v/>
      </c>
      <c r="H146" s="21" t="str">
        <f t="shared" si="13"/>
        <v/>
      </c>
      <c r="I146" s="21" t="str">
        <f t="shared" si="14"/>
        <v/>
      </c>
      <c r="J146" t="str">
        <f>IFERROR(INDEX(Employees!$C$2:$C$100,MATCH($B146,Employees!$A$2:$A$100,0)),"")</f>
        <v/>
      </c>
      <c r="K146">
        <f>IFERROR(INDEX(Employees!$D$2:$D$100,MATCH($B146,Employees!$A$2:$A$100,0)),0)</f>
        <v>0</v>
      </c>
      <c r="L146">
        <f>IFERROR(INDEX(Employees!$E$2:$E$100,MATCH($B146,Employees!$A$2:$A$100,0)),1)</f>
        <v>1</v>
      </c>
      <c r="M146">
        <f>IFERROR(INDEX(Employees!$F$2:$F$100,MATCH($B146,Employees!$A$2:$A$100,0)),1)</f>
        <v>1</v>
      </c>
    </row>
    <row r="147" spans="1:13">
      <c r="A147" s="5"/>
      <c r="B147" s="5"/>
      <c r="C147" s="13" t="str">
        <f>IF(OR(A147="",B147=""),"",SUMIFS(Timesheet!$I$2:$I$500,Timesheet!$B$2:$B$500,$A147,Timesheet!$C$2:$C$500,$B147))</f>
        <v/>
      </c>
      <c r="D147" s="14" t="str">
        <f>IF(B147="","",IFERROR(INDEX(Employees!$B$2:$B$100,MATCH($B147,Employees!$A$2:$A$100,0)),0))</f>
        <v/>
      </c>
      <c r="E147" s="21" t="str">
        <f t="shared" si="12"/>
        <v/>
      </c>
      <c r="F147" s="14" t="str">
        <f>IF(OR(A147="",B147=""),"",SUMIFS(Timesheet!$K$2:$K$500,Timesheet!$B$2:$B$500,$A147,Timesheet!$C$2:$C$500,$B147))</f>
        <v/>
      </c>
      <c r="G147" s="14" t="str">
        <f>IF(OR(A147="",B147=""),"",SUMIFS(Purchases!$I$2:$I$500,Purchases!$B$2:$B$500,$A147,Purchases!$C$2:$C$500,$B147))</f>
        <v/>
      </c>
      <c r="H147" s="21" t="str">
        <f t="shared" si="13"/>
        <v/>
      </c>
      <c r="I147" s="21" t="str">
        <f t="shared" si="14"/>
        <v/>
      </c>
      <c r="J147" t="str">
        <f>IFERROR(INDEX(Employees!$C$2:$C$100,MATCH($B147,Employees!$A$2:$A$100,0)),"")</f>
        <v/>
      </c>
      <c r="K147">
        <f>IFERROR(INDEX(Employees!$D$2:$D$100,MATCH($B147,Employees!$A$2:$A$100,0)),0)</f>
        <v>0</v>
      </c>
      <c r="L147">
        <f>IFERROR(INDEX(Employees!$E$2:$E$100,MATCH($B147,Employees!$A$2:$A$100,0)),1)</f>
        <v>1</v>
      </c>
      <c r="M147">
        <f>IFERROR(INDEX(Employees!$F$2:$F$100,MATCH($B147,Employees!$A$2:$A$100,0)),1)</f>
        <v>1</v>
      </c>
    </row>
    <row r="148" spans="1:13">
      <c r="A148" s="5"/>
      <c r="B148" s="5"/>
      <c r="C148" s="13" t="str">
        <f>IF(OR(A148="",B148=""),"",SUMIFS(Timesheet!$I$2:$I$500,Timesheet!$B$2:$B$500,$A148,Timesheet!$C$2:$C$500,$B148))</f>
        <v/>
      </c>
      <c r="D148" s="14" t="str">
        <f>IF(B148="","",IFERROR(INDEX(Employees!$B$2:$B$100,MATCH($B148,Employees!$A$2:$A$100,0)),0))</f>
        <v/>
      </c>
      <c r="E148" s="21" t="str">
        <f t="shared" si="12"/>
        <v/>
      </c>
      <c r="F148" s="14" t="str">
        <f>IF(OR(A148="",B148=""),"",SUMIFS(Timesheet!$K$2:$K$500,Timesheet!$B$2:$B$500,$A148,Timesheet!$C$2:$C$500,$B148))</f>
        <v/>
      </c>
      <c r="G148" s="14" t="str">
        <f>IF(OR(A148="",B148=""),"",SUMIFS(Purchases!$I$2:$I$500,Purchases!$B$2:$B$500,$A148,Purchases!$C$2:$C$500,$B148))</f>
        <v/>
      </c>
      <c r="H148" s="21" t="str">
        <f t="shared" si="13"/>
        <v/>
      </c>
      <c r="I148" s="21" t="str">
        <f t="shared" si="14"/>
        <v/>
      </c>
      <c r="J148" t="str">
        <f>IFERROR(INDEX(Employees!$C$2:$C$100,MATCH($B148,Employees!$A$2:$A$100,0)),"")</f>
        <v/>
      </c>
      <c r="K148">
        <f>IFERROR(INDEX(Employees!$D$2:$D$100,MATCH($B148,Employees!$A$2:$A$100,0)),0)</f>
        <v>0</v>
      </c>
      <c r="L148">
        <f>IFERROR(INDEX(Employees!$E$2:$E$100,MATCH($B148,Employees!$A$2:$A$100,0)),1)</f>
        <v>1</v>
      </c>
      <c r="M148">
        <f>IFERROR(INDEX(Employees!$F$2:$F$100,MATCH($B148,Employees!$A$2:$A$100,0)),1)</f>
        <v>1</v>
      </c>
    </row>
    <row r="149" spans="1:13">
      <c r="A149" s="5"/>
      <c r="B149" s="5"/>
      <c r="C149" s="13" t="str">
        <f>IF(OR(A149="",B149=""),"",SUMIFS(Timesheet!$I$2:$I$500,Timesheet!$B$2:$B$500,$A149,Timesheet!$C$2:$C$500,$B149))</f>
        <v/>
      </c>
      <c r="D149" s="14" t="str">
        <f>IF(B149="","",IFERROR(INDEX(Employees!$B$2:$B$100,MATCH($B149,Employees!$A$2:$A$100,0)),0))</f>
        <v/>
      </c>
      <c r="E149" s="21" t="str">
        <f t="shared" si="12"/>
        <v/>
      </c>
      <c r="F149" s="14" t="str">
        <f>IF(OR(A149="",B149=""),"",SUMIFS(Timesheet!$K$2:$K$500,Timesheet!$B$2:$B$500,$A149,Timesheet!$C$2:$C$500,$B149))</f>
        <v/>
      </c>
      <c r="G149" s="14" t="str">
        <f>IF(OR(A149="",B149=""),"",SUMIFS(Purchases!$I$2:$I$500,Purchases!$B$2:$B$500,$A149,Purchases!$C$2:$C$500,$B149))</f>
        <v/>
      </c>
      <c r="H149" s="21" t="str">
        <f t="shared" si="13"/>
        <v/>
      </c>
      <c r="I149" s="21" t="str">
        <f t="shared" si="14"/>
        <v/>
      </c>
      <c r="J149" t="str">
        <f>IFERROR(INDEX(Employees!$C$2:$C$100,MATCH($B149,Employees!$A$2:$A$100,0)),"")</f>
        <v/>
      </c>
      <c r="K149">
        <f>IFERROR(INDEX(Employees!$D$2:$D$100,MATCH($B149,Employees!$A$2:$A$100,0)),0)</f>
        <v>0</v>
      </c>
      <c r="L149">
        <f>IFERROR(INDEX(Employees!$E$2:$E$100,MATCH($B149,Employees!$A$2:$A$100,0)),1)</f>
        <v>1</v>
      </c>
      <c r="M149">
        <f>IFERROR(INDEX(Employees!$F$2:$F$100,MATCH($B149,Employees!$A$2:$A$100,0)),1)</f>
        <v>1</v>
      </c>
    </row>
    <row r="150" spans="1:13">
      <c r="A150" s="5"/>
      <c r="B150" s="5"/>
      <c r="C150" s="13" t="str">
        <f>IF(OR(A150="",B150=""),"",SUMIFS(Timesheet!$I$2:$I$500,Timesheet!$B$2:$B$500,$A150,Timesheet!$C$2:$C$500,$B150))</f>
        <v/>
      </c>
      <c r="D150" s="14" t="str">
        <f>IF(B150="","",IFERROR(INDEX(Employees!$B$2:$B$100,MATCH($B150,Employees!$A$2:$A$100,0)),0))</f>
        <v/>
      </c>
      <c r="E150" s="21" t="str">
        <f t="shared" si="12"/>
        <v/>
      </c>
      <c r="F150" s="14" t="str">
        <f>IF(OR(A150="",B150=""),"",SUMIFS(Timesheet!$K$2:$K$500,Timesheet!$B$2:$B$500,$A150,Timesheet!$C$2:$C$500,$B150))</f>
        <v/>
      </c>
      <c r="G150" s="14" t="str">
        <f>IF(OR(A150="",B150=""),"",SUMIFS(Purchases!$I$2:$I$500,Purchases!$B$2:$B$500,$A150,Purchases!$C$2:$C$500,$B150))</f>
        <v/>
      </c>
      <c r="H150" s="21" t="str">
        <f t="shared" si="13"/>
        <v/>
      </c>
      <c r="I150" s="21" t="str">
        <f t="shared" si="14"/>
        <v/>
      </c>
      <c r="J150" t="str">
        <f>IFERROR(INDEX(Employees!$C$2:$C$100,MATCH($B150,Employees!$A$2:$A$100,0)),"")</f>
        <v/>
      </c>
      <c r="K150">
        <f>IFERROR(INDEX(Employees!$D$2:$D$100,MATCH($B150,Employees!$A$2:$A$100,0)),0)</f>
        <v>0</v>
      </c>
      <c r="L150">
        <f>IFERROR(INDEX(Employees!$E$2:$E$100,MATCH($B150,Employees!$A$2:$A$100,0)),1)</f>
        <v>1</v>
      </c>
      <c r="M150">
        <f>IFERROR(INDEX(Employees!$F$2:$F$100,MATCH($B150,Employees!$A$2:$A$100,0)),1)</f>
        <v>1</v>
      </c>
    </row>
    <row r="151" spans="1:13">
      <c r="A151" s="5"/>
      <c r="B151" s="5"/>
      <c r="C151" s="13" t="str">
        <f>IF(OR(A151="",B151=""),"",SUMIFS(Timesheet!$I$2:$I$500,Timesheet!$B$2:$B$500,$A151,Timesheet!$C$2:$C$500,$B151))</f>
        <v/>
      </c>
      <c r="D151" s="14" t="str">
        <f>IF(B151="","",IFERROR(INDEX(Employees!$B$2:$B$100,MATCH($B151,Employees!$A$2:$A$100,0)),0))</f>
        <v/>
      </c>
      <c r="E151" s="21" t="str">
        <f t="shared" si="12"/>
        <v/>
      </c>
      <c r="F151" s="14" t="str">
        <f>IF(OR(A151="",B151=""),"",SUMIFS(Timesheet!$K$2:$K$500,Timesheet!$B$2:$B$500,$A151,Timesheet!$C$2:$C$500,$B151))</f>
        <v/>
      </c>
      <c r="G151" s="14" t="str">
        <f>IF(OR(A151="",B151=""),"",SUMIFS(Purchases!$I$2:$I$500,Purchases!$B$2:$B$500,$A151,Purchases!$C$2:$C$500,$B151))</f>
        <v/>
      </c>
      <c r="H151" s="21" t="str">
        <f t="shared" si="13"/>
        <v/>
      </c>
      <c r="I151" s="21" t="str">
        <f t="shared" si="14"/>
        <v/>
      </c>
      <c r="J151" t="str">
        <f>IFERROR(INDEX(Employees!$C$2:$C$100,MATCH($B151,Employees!$A$2:$A$100,0)),"")</f>
        <v/>
      </c>
      <c r="K151">
        <f>IFERROR(INDEX(Employees!$D$2:$D$100,MATCH($B151,Employees!$A$2:$A$100,0)),0)</f>
        <v>0</v>
      </c>
      <c r="L151">
        <f>IFERROR(INDEX(Employees!$E$2:$E$100,MATCH($B151,Employees!$A$2:$A$100,0)),1)</f>
        <v>1</v>
      </c>
      <c r="M151">
        <f>IFERROR(INDEX(Employees!$F$2:$F$100,MATCH($B151,Employees!$A$2:$A$100,0)),1)</f>
        <v>1</v>
      </c>
    </row>
    <row r="152" spans="1:13">
      <c r="A152" s="5"/>
      <c r="B152" s="5"/>
      <c r="C152" s="13" t="str">
        <f>IF(OR(A152="",B152=""),"",SUMIFS(Timesheet!$I$2:$I$500,Timesheet!$B$2:$B$500,$A152,Timesheet!$C$2:$C$500,$B152))</f>
        <v/>
      </c>
      <c r="D152" s="14" t="str">
        <f>IF(B152="","",IFERROR(INDEX(Employees!$B$2:$B$100,MATCH($B152,Employees!$A$2:$A$100,0)),0))</f>
        <v/>
      </c>
      <c r="E152" s="21" t="str">
        <f t="shared" si="12"/>
        <v/>
      </c>
      <c r="F152" s="14" t="str">
        <f>IF(OR(A152="",B152=""),"",SUMIFS(Timesheet!$K$2:$K$500,Timesheet!$B$2:$B$500,$A152,Timesheet!$C$2:$C$500,$B152))</f>
        <v/>
      </c>
      <c r="G152" s="14" t="str">
        <f>IF(OR(A152="",B152=""),"",SUMIFS(Purchases!$I$2:$I$500,Purchases!$B$2:$B$500,$A152,Purchases!$C$2:$C$500,$B152))</f>
        <v/>
      </c>
      <c r="H152" s="21" t="str">
        <f t="shared" si="13"/>
        <v/>
      </c>
      <c r="I152" s="21" t="str">
        <f t="shared" si="14"/>
        <v/>
      </c>
      <c r="J152" t="str">
        <f>IFERROR(INDEX(Employees!$C$2:$C$100,MATCH($B152,Employees!$A$2:$A$100,0)),"")</f>
        <v/>
      </c>
      <c r="K152">
        <f>IFERROR(INDEX(Employees!$D$2:$D$100,MATCH($B152,Employees!$A$2:$A$100,0)),0)</f>
        <v>0</v>
      </c>
      <c r="L152">
        <f>IFERROR(INDEX(Employees!$E$2:$E$100,MATCH($B152,Employees!$A$2:$A$100,0)),1)</f>
        <v>1</v>
      </c>
      <c r="M152">
        <f>IFERROR(INDEX(Employees!$F$2:$F$100,MATCH($B152,Employees!$A$2:$A$100,0)),1)</f>
        <v>1</v>
      </c>
    </row>
    <row r="153" spans="1:13">
      <c r="A153" s="5"/>
      <c r="B153" s="5"/>
      <c r="C153" s="13" t="str">
        <f>IF(OR(A153="",B153=""),"",SUMIFS(Timesheet!$I$2:$I$500,Timesheet!$B$2:$B$500,$A153,Timesheet!$C$2:$C$500,$B153))</f>
        <v/>
      </c>
      <c r="D153" s="14" t="str">
        <f>IF(B153="","",IFERROR(INDEX(Employees!$B$2:$B$100,MATCH($B153,Employees!$A$2:$A$100,0)),0))</f>
        <v/>
      </c>
      <c r="E153" s="21" t="str">
        <f t="shared" si="12"/>
        <v/>
      </c>
      <c r="F153" s="14" t="str">
        <f>IF(OR(A153="",B153=""),"",SUMIFS(Timesheet!$K$2:$K$500,Timesheet!$B$2:$B$500,$A153,Timesheet!$C$2:$C$500,$B153))</f>
        <v/>
      </c>
      <c r="G153" s="14" t="str">
        <f>IF(OR(A153="",B153=""),"",SUMIFS(Purchases!$I$2:$I$500,Purchases!$B$2:$B$500,$A153,Purchases!$C$2:$C$500,$B153))</f>
        <v/>
      </c>
      <c r="H153" s="21" t="str">
        <f t="shared" si="13"/>
        <v/>
      </c>
      <c r="I153" s="21" t="str">
        <f t="shared" si="14"/>
        <v/>
      </c>
      <c r="J153" t="str">
        <f>IFERROR(INDEX(Employees!$C$2:$C$100,MATCH($B153,Employees!$A$2:$A$100,0)),"")</f>
        <v/>
      </c>
      <c r="K153">
        <f>IFERROR(INDEX(Employees!$D$2:$D$100,MATCH($B153,Employees!$A$2:$A$100,0)),0)</f>
        <v>0</v>
      </c>
      <c r="L153">
        <f>IFERROR(INDEX(Employees!$E$2:$E$100,MATCH($B153,Employees!$A$2:$A$100,0)),1)</f>
        <v>1</v>
      </c>
      <c r="M153">
        <f>IFERROR(INDEX(Employees!$F$2:$F$100,MATCH($B153,Employees!$A$2:$A$100,0)),1)</f>
        <v>1</v>
      </c>
    </row>
    <row r="154" spans="1:13">
      <c r="A154" s="5"/>
      <c r="B154" s="5"/>
      <c r="C154" s="13" t="str">
        <f>IF(OR(A154="",B154=""),"",SUMIFS(Timesheet!$I$2:$I$500,Timesheet!$B$2:$B$500,$A154,Timesheet!$C$2:$C$500,$B154))</f>
        <v/>
      </c>
      <c r="D154" s="14" t="str">
        <f>IF(B154="","",IFERROR(INDEX(Employees!$B$2:$B$100,MATCH($B154,Employees!$A$2:$A$100,0)),0))</f>
        <v/>
      </c>
      <c r="E154" s="21" t="str">
        <f t="shared" si="12"/>
        <v/>
      </c>
      <c r="F154" s="14" t="str">
        <f>IF(OR(A154="",B154=""),"",SUMIFS(Timesheet!$K$2:$K$500,Timesheet!$B$2:$B$500,$A154,Timesheet!$C$2:$C$500,$B154))</f>
        <v/>
      </c>
      <c r="G154" s="14" t="str">
        <f>IF(OR(A154="",B154=""),"",SUMIFS(Purchases!$I$2:$I$500,Purchases!$B$2:$B$500,$A154,Purchases!$C$2:$C$500,$B154))</f>
        <v/>
      </c>
      <c r="H154" s="21" t="str">
        <f t="shared" si="13"/>
        <v/>
      </c>
      <c r="I154" s="21" t="str">
        <f t="shared" si="14"/>
        <v/>
      </c>
      <c r="J154" t="str">
        <f>IFERROR(INDEX(Employees!$C$2:$C$100,MATCH($B154,Employees!$A$2:$A$100,0)),"")</f>
        <v/>
      </c>
      <c r="K154">
        <f>IFERROR(INDEX(Employees!$D$2:$D$100,MATCH($B154,Employees!$A$2:$A$100,0)),0)</f>
        <v>0</v>
      </c>
      <c r="L154">
        <f>IFERROR(INDEX(Employees!$E$2:$E$100,MATCH($B154,Employees!$A$2:$A$100,0)),1)</f>
        <v>1</v>
      </c>
      <c r="M154">
        <f>IFERROR(INDEX(Employees!$F$2:$F$100,MATCH($B154,Employees!$A$2:$A$100,0)),1)</f>
        <v>1</v>
      </c>
    </row>
    <row r="155" spans="1:13">
      <c r="A155" s="5"/>
      <c r="B155" s="5"/>
      <c r="C155" s="13" t="str">
        <f>IF(OR(A155="",B155=""),"",SUMIFS(Timesheet!$I$2:$I$500,Timesheet!$B$2:$B$500,$A155,Timesheet!$C$2:$C$500,$B155))</f>
        <v/>
      </c>
      <c r="D155" s="14" t="str">
        <f>IF(B155="","",IFERROR(INDEX(Employees!$B$2:$B$100,MATCH($B155,Employees!$A$2:$A$100,0)),0))</f>
        <v/>
      </c>
      <c r="E155" s="21" t="str">
        <f t="shared" si="12"/>
        <v/>
      </c>
      <c r="F155" s="14" t="str">
        <f>IF(OR(A155="",B155=""),"",SUMIFS(Timesheet!$K$2:$K$500,Timesheet!$B$2:$B$500,$A155,Timesheet!$C$2:$C$500,$B155))</f>
        <v/>
      </c>
      <c r="G155" s="14" t="str">
        <f>IF(OR(A155="",B155=""),"",SUMIFS(Purchases!$I$2:$I$500,Purchases!$B$2:$B$500,$A155,Purchases!$C$2:$C$500,$B155))</f>
        <v/>
      </c>
      <c r="H155" s="21" t="str">
        <f t="shared" si="13"/>
        <v/>
      </c>
      <c r="I155" s="21" t="str">
        <f t="shared" si="14"/>
        <v/>
      </c>
      <c r="J155" t="str">
        <f>IFERROR(INDEX(Employees!$C$2:$C$100,MATCH($B155,Employees!$A$2:$A$100,0)),"")</f>
        <v/>
      </c>
      <c r="K155">
        <f>IFERROR(INDEX(Employees!$D$2:$D$100,MATCH($B155,Employees!$A$2:$A$100,0)),0)</f>
        <v>0</v>
      </c>
      <c r="L155">
        <f>IFERROR(INDEX(Employees!$E$2:$E$100,MATCH($B155,Employees!$A$2:$A$100,0)),1)</f>
        <v>1</v>
      </c>
      <c r="M155">
        <f>IFERROR(INDEX(Employees!$F$2:$F$100,MATCH($B155,Employees!$A$2:$A$100,0)),1)</f>
        <v>1</v>
      </c>
    </row>
    <row r="156" spans="1:13">
      <c r="A156" s="5"/>
      <c r="B156" s="5"/>
      <c r="C156" s="13" t="str">
        <f>IF(OR(A156="",B156=""),"",SUMIFS(Timesheet!$I$2:$I$500,Timesheet!$B$2:$B$500,$A156,Timesheet!$C$2:$C$500,$B156))</f>
        <v/>
      </c>
      <c r="D156" s="14" t="str">
        <f>IF(B156="","",IFERROR(INDEX(Employees!$B$2:$B$100,MATCH($B156,Employees!$A$2:$A$100,0)),0))</f>
        <v/>
      </c>
      <c r="E156" s="21" t="str">
        <f t="shared" si="12"/>
        <v/>
      </c>
      <c r="F156" s="14" t="str">
        <f>IF(OR(A156="",B156=""),"",SUMIFS(Timesheet!$K$2:$K$500,Timesheet!$B$2:$B$500,$A156,Timesheet!$C$2:$C$500,$B156))</f>
        <v/>
      </c>
      <c r="G156" s="14" t="str">
        <f>IF(OR(A156="",B156=""),"",SUMIFS(Purchases!$I$2:$I$500,Purchases!$B$2:$B$500,$A156,Purchases!$C$2:$C$500,$B156))</f>
        <v/>
      </c>
      <c r="H156" s="21" t="str">
        <f t="shared" si="13"/>
        <v/>
      </c>
      <c r="I156" s="21" t="str">
        <f t="shared" si="14"/>
        <v/>
      </c>
      <c r="J156" t="str">
        <f>IFERROR(INDEX(Employees!$C$2:$C$100,MATCH($B156,Employees!$A$2:$A$100,0)),"")</f>
        <v/>
      </c>
      <c r="K156">
        <f>IFERROR(INDEX(Employees!$D$2:$D$100,MATCH($B156,Employees!$A$2:$A$100,0)),0)</f>
        <v>0</v>
      </c>
      <c r="L156">
        <f>IFERROR(INDEX(Employees!$E$2:$E$100,MATCH($B156,Employees!$A$2:$A$100,0)),1)</f>
        <v>1</v>
      </c>
      <c r="M156">
        <f>IFERROR(INDEX(Employees!$F$2:$F$100,MATCH($B156,Employees!$A$2:$A$100,0)),1)</f>
        <v>1</v>
      </c>
    </row>
    <row r="157" spans="1:13">
      <c r="A157" s="5"/>
      <c r="B157" s="5"/>
      <c r="C157" s="13" t="str">
        <f>IF(OR(A157="",B157=""),"",SUMIFS(Timesheet!$I$2:$I$500,Timesheet!$B$2:$B$500,$A157,Timesheet!$C$2:$C$500,$B157))</f>
        <v/>
      </c>
      <c r="D157" s="14" t="str">
        <f>IF(B157="","",IFERROR(INDEX(Employees!$B$2:$B$100,MATCH($B157,Employees!$A$2:$A$100,0)),0))</f>
        <v/>
      </c>
      <c r="E157" s="21" t="str">
        <f t="shared" si="12"/>
        <v/>
      </c>
      <c r="F157" s="14" t="str">
        <f>IF(OR(A157="",B157=""),"",SUMIFS(Timesheet!$K$2:$K$500,Timesheet!$B$2:$B$500,$A157,Timesheet!$C$2:$C$500,$B157))</f>
        <v/>
      </c>
      <c r="G157" s="14" t="str">
        <f>IF(OR(A157="",B157=""),"",SUMIFS(Purchases!$I$2:$I$500,Purchases!$B$2:$B$500,$A157,Purchases!$C$2:$C$500,$B157))</f>
        <v/>
      </c>
      <c r="H157" s="21" t="str">
        <f t="shared" si="13"/>
        <v/>
      </c>
      <c r="I157" s="21" t="str">
        <f t="shared" si="14"/>
        <v/>
      </c>
      <c r="J157" t="str">
        <f>IFERROR(INDEX(Employees!$C$2:$C$100,MATCH($B157,Employees!$A$2:$A$100,0)),"")</f>
        <v/>
      </c>
      <c r="K157">
        <f>IFERROR(INDEX(Employees!$D$2:$D$100,MATCH($B157,Employees!$A$2:$A$100,0)),0)</f>
        <v>0</v>
      </c>
      <c r="L157">
        <f>IFERROR(INDEX(Employees!$E$2:$E$100,MATCH($B157,Employees!$A$2:$A$100,0)),1)</f>
        <v>1</v>
      </c>
      <c r="M157">
        <f>IFERROR(INDEX(Employees!$F$2:$F$100,MATCH($B157,Employees!$A$2:$A$100,0)),1)</f>
        <v>1</v>
      </c>
    </row>
    <row r="158" spans="1:13">
      <c r="A158" s="5"/>
      <c r="B158" s="5"/>
      <c r="C158" s="13" t="str">
        <f>IF(OR(A158="",B158=""),"",SUMIFS(Timesheet!$I$2:$I$500,Timesheet!$B$2:$B$500,$A158,Timesheet!$C$2:$C$500,$B158))</f>
        <v/>
      </c>
      <c r="D158" s="14" t="str">
        <f>IF(B158="","",IFERROR(INDEX(Employees!$B$2:$B$100,MATCH($B158,Employees!$A$2:$A$100,0)),0))</f>
        <v/>
      </c>
      <c r="E158" s="21" t="str">
        <f t="shared" si="12"/>
        <v/>
      </c>
      <c r="F158" s="14" t="str">
        <f>IF(OR(A158="",B158=""),"",SUMIFS(Timesheet!$K$2:$K$500,Timesheet!$B$2:$B$500,$A158,Timesheet!$C$2:$C$500,$B158))</f>
        <v/>
      </c>
      <c r="G158" s="14" t="str">
        <f>IF(OR(A158="",B158=""),"",SUMIFS(Purchases!$I$2:$I$500,Purchases!$B$2:$B$500,$A158,Purchases!$C$2:$C$500,$B158))</f>
        <v/>
      </c>
      <c r="H158" s="21" t="str">
        <f t="shared" si="13"/>
        <v/>
      </c>
      <c r="I158" s="21" t="str">
        <f t="shared" si="14"/>
        <v/>
      </c>
      <c r="J158" t="str">
        <f>IFERROR(INDEX(Employees!$C$2:$C$100,MATCH($B158,Employees!$A$2:$A$100,0)),"")</f>
        <v/>
      </c>
      <c r="K158">
        <f>IFERROR(INDEX(Employees!$D$2:$D$100,MATCH($B158,Employees!$A$2:$A$100,0)),0)</f>
        <v>0</v>
      </c>
      <c r="L158">
        <f>IFERROR(INDEX(Employees!$E$2:$E$100,MATCH($B158,Employees!$A$2:$A$100,0)),1)</f>
        <v>1</v>
      </c>
      <c r="M158">
        <f>IFERROR(INDEX(Employees!$F$2:$F$100,MATCH($B158,Employees!$A$2:$A$100,0)),1)</f>
        <v>1</v>
      </c>
    </row>
    <row r="159" spans="1:13">
      <c r="A159" s="5"/>
      <c r="B159" s="5"/>
      <c r="C159" s="13" t="str">
        <f>IF(OR(A159="",B159=""),"",SUMIFS(Timesheet!$I$2:$I$500,Timesheet!$B$2:$B$500,$A159,Timesheet!$C$2:$C$500,$B159))</f>
        <v/>
      </c>
      <c r="D159" s="14" t="str">
        <f>IF(B159="","",IFERROR(INDEX(Employees!$B$2:$B$100,MATCH($B159,Employees!$A$2:$A$100,0)),0))</f>
        <v/>
      </c>
      <c r="E159" s="21" t="str">
        <f t="shared" si="12"/>
        <v/>
      </c>
      <c r="F159" s="14" t="str">
        <f>IF(OR(A159="",B159=""),"",SUMIFS(Timesheet!$K$2:$K$500,Timesheet!$B$2:$B$500,$A159,Timesheet!$C$2:$C$500,$B159))</f>
        <v/>
      </c>
      <c r="G159" s="14" t="str">
        <f>IF(OR(A159="",B159=""),"",SUMIFS(Purchases!$I$2:$I$500,Purchases!$B$2:$B$500,$A159,Purchases!$C$2:$C$500,$B159))</f>
        <v/>
      </c>
      <c r="H159" s="21" t="str">
        <f t="shared" si="13"/>
        <v/>
      </c>
      <c r="I159" s="21" t="str">
        <f t="shared" si="14"/>
        <v/>
      </c>
      <c r="J159" t="str">
        <f>IFERROR(INDEX(Employees!$C$2:$C$100,MATCH($B159,Employees!$A$2:$A$100,0)),"")</f>
        <v/>
      </c>
      <c r="K159">
        <f>IFERROR(INDEX(Employees!$D$2:$D$100,MATCH($B159,Employees!$A$2:$A$100,0)),0)</f>
        <v>0</v>
      </c>
      <c r="L159">
        <f>IFERROR(INDEX(Employees!$E$2:$E$100,MATCH($B159,Employees!$A$2:$A$100,0)),1)</f>
        <v>1</v>
      </c>
      <c r="M159">
        <f>IFERROR(INDEX(Employees!$F$2:$F$100,MATCH($B159,Employees!$A$2:$A$100,0)),1)</f>
        <v>1</v>
      </c>
    </row>
    <row r="160" spans="1:13">
      <c r="A160" s="5"/>
      <c r="B160" s="5"/>
      <c r="C160" s="13" t="str">
        <f>IF(OR(A160="",B160=""),"",SUMIFS(Timesheet!$I$2:$I$500,Timesheet!$B$2:$B$500,$A160,Timesheet!$C$2:$C$500,$B160))</f>
        <v/>
      </c>
      <c r="D160" s="14" t="str">
        <f>IF(B160="","",IFERROR(INDEX(Employees!$B$2:$B$100,MATCH($B160,Employees!$A$2:$A$100,0)),0))</f>
        <v/>
      </c>
      <c r="E160" s="21" t="str">
        <f t="shared" si="12"/>
        <v/>
      </c>
      <c r="F160" s="14" t="str">
        <f>IF(OR(A160="",B160=""),"",SUMIFS(Timesheet!$K$2:$K$500,Timesheet!$B$2:$B$500,$A160,Timesheet!$C$2:$C$500,$B160))</f>
        <v/>
      </c>
      <c r="G160" s="14" t="str">
        <f>IF(OR(A160="",B160=""),"",SUMIFS(Purchases!$I$2:$I$500,Purchases!$B$2:$B$500,$A160,Purchases!$C$2:$C$500,$B160))</f>
        <v/>
      </c>
      <c r="H160" s="21" t="str">
        <f t="shared" si="13"/>
        <v/>
      </c>
      <c r="I160" s="21" t="str">
        <f t="shared" si="14"/>
        <v/>
      </c>
      <c r="J160" t="str">
        <f>IFERROR(INDEX(Employees!$C$2:$C$100,MATCH($B160,Employees!$A$2:$A$100,0)),"")</f>
        <v/>
      </c>
      <c r="K160">
        <f>IFERROR(INDEX(Employees!$D$2:$D$100,MATCH($B160,Employees!$A$2:$A$100,0)),0)</f>
        <v>0</v>
      </c>
      <c r="L160">
        <f>IFERROR(INDEX(Employees!$E$2:$E$100,MATCH($B160,Employees!$A$2:$A$100,0)),1)</f>
        <v>1</v>
      </c>
      <c r="M160">
        <f>IFERROR(INDEX(Employees!$F$2:$F$100,MATCH($B160,Employees!$A$2:$A$100,0)),1)</f>
        <v>1</v>
      </c>
    </row>
    <row r="161" spans="1:13">
      <c r="A161" s="5"/>
      <c r="B161" s="5"/>
      <c r="C161" s="13" t="str">
        <f>IF(OR(A161="",B161=""),"",SUMIFS(Timesheet!$I$2:$I$500,Timesheet!$B$2:$B$500,$A161,Timesheet!$C$2:$C$500,$B161))</f>
        <v/>
      </c>
      <c r="D161" s="14" t="str">
        <f>IF(B161="","",IFERROR(INDEX(Employees!$B$2:$B$100,MATCH($B161,Employees!$A$2:$A$100,0)),0))</f>
        <v/>
      </c>
      <c r="E161" s="21" t="str">
        <f t="shared" si="12"/>
        <v/>
      </c>
      <c r="F161" s="14" t="str">
        <f>IF(OR(A161="",B161=""),"",SUMIFS(Timesheet!$K$2:$K$500,Timesheet!$B$2:$B$500,$A161,Timesheet!$C$2:$C$500,$B161))</f>
        <v/>
      </c>
      <c r="G161" s="14" t="str">
        <f>IF(OR(A161="",B161=""),"",SUMIFS(Purchases!$I$2:$I$500,Purchases!$B$2:$B$500,$A161,Purchases!$C$2:$C$500,$B161))</f>
        <v/>
      </c>
      <c r="H161" s="21" t="str">
        <f t="shared" si="13"/>
        <v/>
      </c>
      <c r="I161" s="21" t="str">
        <f t="shared" si="14"/>
        <v/>
      </c>
      <c r="J161" t="str">
        <f>IFERROR(INDEX(Employees!$C$2:$C$100,MATCH($B161,Employees!$A$2:$A$100,0)),"")</f>
        <v/>
      </c>
      <c r="K161">
        <f>IFERROR(INDEX(Employees!$D$2:$D$100,MATCH($B161,Employees!$A$2:$A$100,0)),0)</f>
        <v>0</v>
      </c>
      <c r="L161">
        <f>IFERROR(INDEX(Employees!$E$2:$E$100,MATCH($B161,Employees!$A$2:$A$100,0)),1)</f>
        <v>1</v>
      </c>
      <c r="M161">
        <f>IFERROR(INDEX(Employees!$F$2:$F$100,MATCH($B161,Employees!$A$2:$A$100,0)),1)</f>
        <v>1</v>
      </c>
    </row>
    <row r="162" spans="1:13">
      <c r="A162" s="5"/>
      <c r="B162" s="5"/>
      <c r="C162" s="13" t="str">
        <f>IF(OR(A162="",B162=""),"",SUMIFS(Timesheet!$I$2:$I$500,Timesheet!$B$2:$B$500,$A162,Timesheet!$C$2:$C$500,$B162))</f>
        <v/>
      </c>
      <c r="D162" s="14" t="str">
        <f>IF(B162="","",IFERROR(INDEX(Employees!$B$2:$B$100,MATCH($B162,Employees!$A$2:$A$100,0)),0))</f>
        <v/>
      </c>
      <c r="E162" s="21" t="str">
        <f t="shared" ref="E162:E193" si="15">IF(C162="","",ROUND(C162*D162,0))</f>
        <v/>
      </c>
      <c r="F162" s="14" t="str">
        <f>IF(OR(A162="",B162=""),"",SUMIFS(Timesheet!$K$2:$K$500,Timesheet!$B$2:$B$500,$A162,Timesheet!$C$2:$C$500,$B162))</f>
        <v/>
      </c>
      <c r="G162" s="14" t="str">
        <f>IF(OR(A162="",B162=""),"",SUMIFS(Purchases!$I$2:$I$500,Purchases!$B$2:$B$500,$A162,Purchases!$C$2:$C$500,$B162))</f>
        <v/>
      </c>
      <c r="H162" s="21" t="str">
        <f t="shared" ref="H162:H193" si="16">IF(G162="","",IF(J162="88折，滿2500再9折",ROUND(G162*L162*IF(G162&gt;=K162,M162,1),0),IF(J162="統一9折",ROUND(G162*M162,0),ROUND(G162,0))))</f>
        <v/>
      </c>
      <c r="I162" s="21" t="str">
        <f t="shared" ref="I162:I193" si="17">IF(E162="","",E162+F162-H162)</f>
        <v/>
      </c>
      <c r="J162" t="str">
        <f>IFERROR(INDEX(Employees!$C$2:$C$100,MATCH($B162,Employees!$A$2:$A$100,0)),"")</f>
        <v/>
      </c>
      <c r="K162">
        <f>IFERROR(INDEX(Employees!$D$2:$D$100,MATCH($B162,Employees!$A$2:$A$100,0)),0)</f>
        <v>0</v>
      </c>
      <c r="L162">
        <f>IFERROR(INDEX(Employees!$E$2:$E$100,MATCH($B162,Employees!$A$2:$A$100,0)),1)</f>
        <v>1</v>
      </c>
      <c r="M162">
        <f>IFERROR(INDEX(Employees!$F$2:$F$100,MATCH($B162,Employees!$A$2:$A$100,0)),1)</f>
        <v>1</v>
      </c>
    </row>
    <row r="163" spans="1:13">
      <c r="A163" s="5"/>
      <c r="B163" s="5"/>
      <c r="C163" s="13" t="str">
        <f>IF(OR(A163="",B163=""),"",SUMIFS(Timesheet!$I$2:$I$500,Timesheet!$B$2:$B$500,$A163,Timesheet!$C$2:$C$500,$B163))</f>
        <v/>
      </c>
      <c r="D163" s="14" t="str">
        <f>IF(B163="","",IFERROR(INDEX(Employees!$B$2:$B$100,MATCH($B163,Employees!$A$2:$A$100,0)),0))</f>
        <v/>
      </c>
      <c r="E163" s="21" t="str">
        <f t="shared" si="15"/>
        <v/>
      </c>
      <c r="F163" s="14" t="str">
        <f>IF(OR(A163="",B163=""),"",SUMIFS(Timesheet!$K$2:$K$500,Timesheet!$B$2:$B$500,$A163,Timesheet!$C$2:$C$500,$B163))</f>
        <v/>
      </c>
      <c r="G163" s="14" t="str">
        <f>IF(OR(A163="",B163=""),"",SUMIFS(Purchases!$I$2:$I$500,Purchases!$B$2:$B$500,$A163,Purchases!$C$2:$C$500,$B163))</f>
        <v/>
      </c>
      <c r="H163" s="21" t="str">
        <f t="shared" si="16"/>
        <v/>
      </c>
      <c r="I163" s="21" t="str">
        <f t="shared" si="17"/>
        <v/>
      </c>
      <c r="J163" t="str">
        <f>IFERROR(INDEX(Employees!$C$2:$C$100,MATCH($B163,Employees!$A$2:$A$100,0)),"")</f>
        <v/>
      </c>
      <c r="K163">
        <f>IFERROR(INDEX(Employees!$D$2:$D$100,MATCH($B163,Employees!$A$2:$A$100,0)),0)</f>
        <v>0</v>
      </c>
      <c r="L163">
        <f>IFERROR(INDEX(Employees!$E$2:$E$100,MATCH($B163,Employees!$A$2:$A$100,0)),1)</f>
        <v>1</v>
      </c>
      <c r="M163">
        <f>IFERROR(INDEX(Employees!$F$2:$F$100,MATCH($B163,Employees!$A$2:$A$100,0)),1)</f>
        <v>1</v>
      </c>
    </row>
    <row r="164" spans="1:13">
      <c r="A164" s="5"/>
      <c r="B164" s="5"/>
      <c r="C164" s="13" t="str">
        <f>IF(OR(A164="",B164=""),"",SUMIFS(Timesheet!$I$2:$I$500,Timesheet!$B$2:$B$500,$A164,Timesheet!$C$2:$C$500,$B164))</f>
        <v/>
      </c>
      <c r="D164" s="14" t="str">
        <f>IF(B164="","",IFERROR(INDEX(Employees!$B$2:$B$100,MATCH($B164,Employees!$A$2:$A$100,0)),0))</f>
        <v/>
      </c>
      <c r="E164" s="21" t="str">
        <f t="shared" si="15"/>
        <v/>
      </c>
      <c r="F164" s="14" t="str">
        <f>IF(OR(A164="",B164=""),"",SUMIFS(Timesheet!$K$2:$K$500,Timesheet!$B$2:$B$500,$A164,Timesheet!$C$2:$C$500,$B164))</f>
        <v/>
      </c>
      <c r="G164" s="14" t="str">
        <f>IF(OR(A164="",B164=""),"",SUMIFS(Purchases!$I$2:$I$500,Purchases!$B$2:$B$500,$A164,Purchases!$C$2:$C$500,$B164))</f>
        <v/>
      </c>
      <c r="H164" s="21" t="str">
        <f t="shared" si="16"/>
        <v/>
      </c>
      <c r="I164" s="21" t="str">
        <f t="shared" si="17"/>
        <v/>
      </c>
      <c r="J164" t="str">
        <f>IFERROR(INDEX(Employees!$C$2:$C$100,MATCH($B164,Employees!$A$2:$A$100,0)),"")</f>
        <v/>
      </c>
      <c r="K164">
        <f>IFERROR(INDEX(Employees!$D$2:$D$100,MATCH($B164,Employees!$A$2:$A$100,0)),0)</f>
        <v>0</v>
      </c>
      <c r="L164">
        <f>IFERROR(INDEX(Employees!$E$2:$E$100,MATCH($B164,Employees!$A$2:$A$100,0)),1)</f>
        <v>1</v>
      </c>
      <c r="M164">
        <f>IFERROR(INDEX(Employees!$F$2:$F$100,MATCH($B164,Employees!$A$2:$A$100,0)),1)</f>
        <v>1</v>
      </c>
    </row>
    <row r="165" spans="1:13">
      <c r="A165" s="5"/>
      <c r="B165" s="5"/>
      <c r="C165" s="13" t="str">
        <f>IF(OR(A165="",B165=""),"",SUMIFS(Timesheet!$I$2:$I$500,Timesheet!$B$2:$B$500,$A165,Timesheet!$C$2:$C$500,$B165))</f>
        <v/>
      </c>
      <c r="D165" s="14" t="str">
        <f>IF(B165="","",IFERROR(INDEX(Employees!$B$2:$B$100,MATCH($B165,Employees!$A$2:$A$100,0)),0))</f>
        <v/>
      </c>
      <c r="E165" s="21" t="str">
        <f t="shared" si="15"/>
        <v/>
      </c>
      <c r="F165" s="14" t="str">
        <f>IF(OR(A165="",B165=""),"",SUMIFS(Timesheet!$K$2:$K$500,Timesheet!$B$2:$B$500,$A165,Timesheet!$C$2:$C$500,$B165))</f>
        <v/>
      </c>
      <c r="G165" s="14" t="str">
        <f>IF(OR(A165="",B165=""),"",SUMIFS(Purchases!$I$2:$I$500,Purchases!$B$2:$B$500,$A165,Purchases!$C$2:$C$500,$B165))</f>
        <v/>
      </c>
      <c r="H165" s="21" t="str">
        <f t="shared" si="16"/>
        <v/>
      </c>
      <c r="I165" s="21" t="str">
        <f t="shared" si="17"/>
        <v/>
      </c>
      <c r="J165" t="str">
        <f>IFERROR(INDEX(Employees!$C$2:$C$100,MATCH($B165,Employees!$A$2:$A$100,0)),"")</f>
        <v/>
      </c>
      <c r="K165">
        <f>IFERROR(INDEX(Employees!$D$2:$D$100,MATCH($B165,Employees!$A$2:$A$100,0)),0)</f>
        <v>0</v>
      </c>
      <c r="L165">
        <f>IFERROR(INDEX(Employees!$E$2:$E$100,MATCH($B165,Employees!$A$2:$A$100,0)),1)</f>
        <v>1</v>
      </c>
      <c r="M165">
        <f>IFERROR(INDEX(Employees!$F$2:$F$100,MATCH($B165,Employees!$A$2:$A$100,0)),1)</f>
        <v>1</v>
      </c>
    </row>
    <row r="166" spans="1:13">
      <c r="A166" s="5"/>
      <c r="B166" s="5"/>
      <c r="C166" s="13" t="str">
        <f>IF(OR(A166="",B166=""),"",SUMIFS(Timesheet!$I$2:$I$500,Timesheet!$B$2:$B$500,$A166,Timesheet!$C$2:$C$500,$B166))</f>
        <v/>
      </c>
      <c r="D166" s="14" t="str">
        <f>IF(B166="","",IFERROR(INDEX(Employees!$B$2:$B$100,MATCH($B166,Employees!$A$2:$A$100,0)),0))</f>
        <v/>
      </c>
      <c r="E166" s="21" t="str">
        <f t="shared" si="15"/>
        <v/>
      </c>
      <c r="F166" s="14" t="str">
        <f>IF(OR(A166="",B166=""),"",SUMIFS(Timesheet!$K$2:$K$500,Timesheet!$B$2:$B$500,$A166,Timesheet!$C$2:$C$500,$B166))</f>
        <v/>
      </c>
      <c r="G166" s="14" t="str">
        <f>IF(OR(A166="",B166=""),"",SUMIFS(Purchases!$I$2:$I$500,Purchases!$B$2:$B$500,$A166,Purchases!$C$2:$C$500,$B166))</f>
        <v/>
      </c>
      <c r="H166" s="21" t="str">
        <f t="shared" si="16"/>
        <v/>
      </c>
      <c r="I166" s="21" t="str">
        <f t="shared" si="17"/>
        <v/>
      </c>
      <c r="J166" t="str">
        <f>IFERROR(INDEX(Employees!$C$2:$C$100,MATCH($B166,Employees!$A$2:$A$100,0)),"")</f>
        <v/>
      </c>
      <c r="K166">
        <f>IFERROR(INDEX(Employees!$D$2:$D$100,MATCH($B166,Employees!$A$2:$A$100,0)),0)</f>
        <v>0</v>
      </c>
      <c r="L166">
        <f>IFERROR(INDEX(Employees!$E$2:$E$100,MATCH($B166,Employees!$A$2:$A$100,0)),1)</f>
        <v>1</v>
      </c>
      <c r="M166">
        <f>IFERROR(INDEX(Employees!$F$2:$F$100,MATCH($B166,Employees!$A$2:$A$100,0)),1)</f>
        <v>1</v>
      </c>
    </row>
    <row r="167" spans="1:13">
      <c r="A167" s="5"/>
      <c r="B167" s="5"/>
      <c r="C167" s="13" t="str">
        <f>IF(OR(A167="",B167=""),"",SUMIFS(Timesheet!$I$2:$I$500,Timesheet!$B$2:$B$500,$A167,Timesheet!$C$2:$C$500,$B167))</f>
        <v/>
      </c>
      <c r="D167" s="14" t="str">
        <f>IF(B167="","",IFERROR(INDEX(Employees!$B$2:$B$100,MATCH($B167,Employees!$A$2:$A$100,0)),0))</f>
        <v/>
      </c>
      <c r="E167" s="21" t="str">
        <f t="shared" si="15"/>
        <v/>
      </c>
      <c r="F167" s="14" t="str">
        <f>IF(OR(A167="",B167=""),"",SUMIFS(Timesheet!$K$2:$K$500,Timesheet!$B$2:$B$500,$A167,Timesheet!$C$2:$C$500,$B167))</f>
        <v/>
      </c>
      <c r="G167" s="14" t="str">
        <f>IF(OR(A167="",B167=""),"",SUMIFS(Purchases!$I$2:$I$500,Purchases!$B$2:$B$500,$A167,Purchases!$C$2:$C$500,$B167))</f>
        <v/>
      </c>
      <c r="H167" s="21" t="str">
        <f t="shared" si="16"/>
        <v/>
      </c>
      <c r="I167" s="21" t="str">
        <f t="shared" si="17"/>
        <v/>
      </c>
      <c r="J167" t="str">
        <f>IFERROR(INDEX(Employees!$C$2:$C$100,MATCH($B167,Employees!$A$2:$A$100,0)),"")</f>
        <v/>
      </c>
      <c r="K167">
        <f>IFERROR(INDEX(Employees!$D$2:$D$100,MATCH($B167,Employees!$A$2:$A$100,0)),0)</f>
        <v>0</v>
      </c>
      <c r="L167">
        <f>IFERROR(INDEX(Employees!$E$2:$E$100,MATCH($B167,Employees!$A$2:$A$100,0)),1)</f>
        <v>1</v>
      </c>
      <c r="M167">
        <f>IFERROR(INDEX(Employees!$F$2:$F$100,MATCH($B167,Employees!$A$2:$A$100,0)),1)</f>
        <v>1</v>
      </c>
    </row>
    <row r="168" spans="1:13">
      <c r="A168" s="5"/>
      <c r="B168" s="5"/>
      <c r="C168" s="13" t="str">
        <f>IF(OR(A168="",B168=""),"",SUMIFS(Timesheet!$I$2:$I$500,Timesheet!$B$2:$B$500,$A168,Timesheet!$C$2:$C$500,$B168))</f>
        <v/>
      </c>
      <c r="D168" s="14" t="str">
        <f>IF(B168="","",IFERROR(INDEX(Employees!$B$2:$B$100,MATCH($B168,Employees!$A$2:$A$100,0)),0))</f>
        <v/>
      </c>
      <c r="E168" s="21" t="str">
        <f t="shared" si="15"/>
        <v/>
      </c>
      <c r="F168" s="14" t="str">
        <f>IF(OR(A168="",B168=""),"",SUMIFS(Timesheet!$K$2:$K$500,Timesheet!$B$2:$B$500,$A168,Timesheet!$C$2:$C$500,$B168))</f>
        <v/>
      </c>
      <c r="G168" s="14" t="str">
        <f>IF(OR(A168="",B168=""),"",SUMIFS(Purchases!$I$2:$I$500,Purchases!$B$2:$B$500,$A168,Purchases!$C$2:$C$500,$B168))</f>
        <v/>
      </c>
      <c r="H168" s="21" t="str">
        <f t="shared" si="16"/>
        <v/>
      </c>
      <c r="I168" s="21" t="str">
        <f t="shared" si="17"/>
        <v/>
      </c>
      <c r="J168" t="str">
        <f>IFERROR(INDEX(Employees!$C$2:$C$100,MATCH($B168,Employees!$A$2:$A$100,0)),"")</f>
        <v/>
      </c>
      <c r="K168">
        <f>IFERROR(INDEX(Employees!$D$2:$D$100,MATCH($B168,Employees!$A$2:$A$100,0)),0)</f>
        <v>0</v>
      </c>
      <c r="L168">
        <f>IFERROR(INDEX(Employees!$E$2:$E$100,MATCH($B168,Employees!$A$2:$A$100,0)),1)</f>
        <v>1</v>
      </c>
      <c r="M168">
        <f>IFERROR(INDEX(Employees!$F$2:$F$100,MATCH($B168,Employees!$A$2:$A$100,0)),1)</f>
        <v>1</v>
      </c>
    </row>
    <row r="169" spans="1:13">
      <c r="A169" s="5"/>
      <c r="B169" s="5"/>
      <c r="C169" s="13" t="str">
        <f>IF(OR(A169="",B169=""),"",SUMIFS(Timesheet!$I$2:$I$500,Timesheet!$B$2:$B$500,$A169,Timesheet!$C$2:$C$500,$B169))</f>
        <v/>
      </c>
      <c r="D169" s="14" t="str">
        <f>IF(B169="","",IFERROR(INDEX(Employees!$B$2:$B$100,MATCH($B169,Employees!$A$2:$A$100,0)),0))</f>
        <v/>
      </c>
      <c r="E169" s="21" t="str">
        <f t="shared" si="15"/>
        <v/>
      </c>
      <c r="F169" s="14" t="str">
        <f>IF(OR(A169="",B169=""),"",SUMIFS(Timesheet!$K$2:$K$500,Timesheet!$B$2:$B$500,$A169,Timesheet!$C$2:$C$500,$B169))</f>
        <v/>
      </c>
      <c r="G169" s="14" t="str">
        <f>IF(OR(A169="",B169=""),"",SUMIFS(Purchases!$I$2:$I$500,Purchases!$B$2:$B$500,$A169,Purchases!$C$2:$C$500,$B169))</f>
        <v/>
      </c>
      <c r="H169" s="21" t="str">
        <f t="shared" si="16"/>
        <v/>
      </c>
      <c r="I169" s="21" t="str">
        <f t="shared" si="17"/>
        <v/>
      </c>
      <c r="J169" t="str">
        <f>IFERROR(INDEX(Employees!$C$2:$C$100,MATCH($B169,Employees!$A$2:$A$100,0)),"")</f>
        <v/>
      </c>
      <c r="K169">
        <f>IFERROR(INDEX(Employees!$D$2:$D$100,MATCH($B169,Employees!$A$2:$A$100,0)),0)</f>
        <v>0</v>
      </c>
      <c r="L169">
        <f>IFERROR(INDEX(Employees!$E$2:$E$100,MATCH($B169,Employees!$A$2:$A$100,0)),1)</f>
        <v>1</v>
      </c>
      <c r="M169">
        <f>IFERROR(INDEX(Employees!$F$2:$F$100,MATCH($B169,Employees!$A$2:$A$100,0)),1)</f>
        <v>1</v>
      </c>
    </row>
    <row r="170" spans="1:13">
      <c r="A170" s="5"/>
      <c r="B170" s="5"/>
      <c r="C170" s="13" t="str">
        <f>IF(OR(A170="",B170=""),"",SUMIFS(Timesheet!$I$2:$I$500,Timesheet!$B$2:$B$500,$A170,Timesheet!$C$2:$C$500,$B170))</f>
        <v/>
      </c>
      <c r="D170" s="14" t="str">
        <f>IF(B170="","",IFERROR(INDEX(Employees!$B$2:$B$100,MATCH($B170,Employees!$A$2:$A$100,0)),0))</f>
        <v/>
      </c>
      <c r="E170" s="21" t="str">
        <f t="shared" si="15"/>
        <v/>
      </c>
      <c r="F170" s="14" t="str">
        <f>IF(OR(A170="",B170=""),"",SUMIFS(Timesheet!$K$2:$K$500,Timesheet!$B$2:$B$500,$A170,Timesheet!$C$2:$C$500,$B170))</f>
        <v/>
      </c>
      <c r="G170" s="14" t="str">
        <f>IF(OR(A170="",B170=""),"",SUMIFS(Purchases!$I$2:$I$500,Purchases!$B$2:$B$500,$A170,Purchases!$C$2:$C$500,$B170))</f>
        <v/>
      </c>
      <c r="H170" s="21" t="str">
        <f t="shared" si="16"/>
        <v/>
      </c>
      <c r="I170" s="21" t="str">
        <f t="shared" si="17"/>
        <v/>
      </c>
      <c r="J170" t="str">
        <f>IFERROR(INDEX(Employees!$C$2:$C$100,MATCH($B170,Employees!$A$2:$A$100,0)),"")</f>
        <v/>
      </c>
      <c r="K170">
        <f>IFERROR(INDEX(Employees!$D$2:$D$100,MATCH($B170,Employees!$A$2:$A$100,0)),0)</f>
        <v>0</v>
      </c>
      <c r="L170">
        <f>IFERROR(INDEX(Employees!$E$2:$E$100,MATCH($B170,Employees!$A$2:$A$100,0)),1)</f>
        <v>1</v>
      </c>
      <c r="M170">
        <f>IFERROR(INDEX(Employees!$F$2:$F$100,MATCH($B170,Employees!$A$2:$A$100,0)),1)</f>
        <v>1</v>
      </c>
    </row>
    <row r="171" spans="1:13">
      <c r="A171" s="5"/>
      <c r="B171" s="5"/>
      <c r="C171" s="13" t="str">
        <f>IF(OR(A171="",B171=""),"",SUMIFS(Timesheet!$I$2:$I$500,Timesheet!$B$2:$B$500,$A171,Timesheet!$C$2:$C$500,$B171))</f>
        <v/>
      </c>
      <c r="D171" s="14" t="str">
        <f>IF(B171="","",IFERROR(INDEX(Employees!$B$2:$B$100,MATCH($B171,Employees!$A$2:$A$100,0)),0))</f>
        <v/>
      </c>
      <c r="E171" s="21" t="str">
        <f t="shared" si="15"/>
        <v/>
      </c>
      <c r="F171" s="14" t="str">
        <f>IF(OR(A171="",B171=""),"",SUMIFS(Timesheet!$K$2:$K$500,Timesheet!$B$2:$B$500,$A171,Timesheet!$C$2:$C$500,$B171))</f>
        <v/>
      </c>
      <c r="G171" s="14" t="str">
        <f>IF(OR(A171="",B171=""),"",SUMIFS(Purchases!$I$2:$I$500,Purchases!$B$2:$B$500,$A171,Purchases!$C$2:$C$500,$B171))</f>
        <v/>
      </c>
      <c r="H171" s="21" t="str">
        <f t="shared" si="16"/>
        <v/>
      </c>
      <c r="I171" s="21" t="str">
        <f t="shared" si="17"/>
        <v/>
      </c>
      <c r="J171" t="str">
        <f>IFERROR(INDEX(Employees!$C$2:$C$100,MATCH($B171,Employees!$A$2:$A$100,0)),"")</f>
        <v/>
      </c>
      <c r="K171">
        <f>IFERROR(INDEX(Employees!$D$2:$D$100,MATCH($B171,Employees!$A$2:$A$100,0)),0)</f>
        <v>0</v>
      </c>
      <c r="L171">
        <f>IFERROR(INDEX(Employees!$E$2:$E$100,MATCH($B171,Employees!$A$2:$A$100,0)),1)</f>
        <v>1</v>
      </c>
      <c r="M171">
        <f>IFERROR(INDEX(Employees!$F$2:$F$100,MATCH($B171,Employees!$A$2:$A$100,0)),1)</f>
        <v>1</v>
      </c>
    </row>
    <row r="172" spans="1:13">
      <c r="A172" s="5"/>
      <c r="B172" s="5"/>
      <c r="C172" s="13" t="str">
        <f>IF(OR(A172="",B172=""),"",SUMIFS(Timesheet!$I$2:$I$500,Timesheet!$B$2:$B$500,$A172,Timesheet!$C$2:$C$500,$B172))</f>
        <v/>
      </c>
      <c r="D172" s="14" t="str">
        <f>IF(B172="","",IFERROR(INDEX(Employees!$B$2:$B$100,MATCH($B172,Employees!$A$2:$A$100,0)),0))</f>
        <v/>
      </c>
      <c r="E172" s="21" t="str">
        <f t="shared" si="15"/>
        <v/>
      </c>
      <c r="F172" s="14" t="str">
        <f>IF(OR(A172="",B172=""),"",SUMIFS(Timesheet!$K$2:$K$500,Timesheet!$B$2:$B$500,$A172,Timesheet!$C$2:$C$500,$B172))</f>
        <v/>
      </c>
      <c r="G172" s="14" t="str">
        <f>IF(OR(A172="",B172=""),"",SUMIFS(Purchases!$I$2:$I$500,Purchases!$B$2:$B$500,$A172,Purchases!$C$2:$C$500,$B172))</f>
        <v/>
      </c>
      <c r="H172" s="21" t="str">
        <f t="shared" si="16"/>
        <v/>
      </c>
      <c r="I172" s="21" t="str">
        <f t="shared" si="17"/>
        <v/>
      </c>
      <c r="J172" t="str">
        <f>IFERROR(INDEX(Employees!$C$2:$C$100,MATCH($B172,Employees!$A$2:$A$100,0)),"")</f>
        <v/>
      </c>
      <c r="K172">
        <f>IFERROR(INDEX(Employees!$D$2:$D$100,MATCH($B172,Employees!$A$2:$A$100,0)),0)</f>
        <v>0</v>
      </c>
      <c r="L172">
        <f>IFERROR(INDEX(Employees!$E$2:$E$100,MATCH($B172,Employees!$A$2:$A$100,0)),1)</f>
        <v>1</v>
      </c>
      <c r="M172">
        <f>IFERROR(INDEX(Employees!$F$2:$F$100,MATCH($B172,Employees!$A$2:$A$100,0)),1)</f>
        <v>1</v>
      </c>
    </row>
    <row r="173" spans="1:13">
      <c r="A173" s="5"/>
      <c r="B173" s="5"/>
      <c r="C173" s="13" t="str">
        <f>IF(OR(A173="",B173=""),"",SUMIFS(Timesheet!$I$2:$I$500,Timesheet!$B$2:$B$500,$A173,Timesheet!$C$2:$C$500,$B173))</f>
        <v/>
      </c>
      <c r="D173" s="14" t="str">
        <f>IF(B173="","",IFERROR(INDEX(Employees!$B$2:$B$100,MATCH($B173,Employees!$A$2:$A$100,0)),0))</f>
        <v/>
      </c>
      <c r="E173" s="21" t="str">
        <f t="shared" si="15"/>
        <v/>
      </c>
      <c r="F173" s="14" t="str">
        <f>IF(OR(A173="",B173=""),"",SUMIFS(Timesheet!$K$2:$K$500,Timesheet!$B$2:$B$500,$A173,Timesheet!$C$2:$C$500,$B173))</f>
        <v/>
      </c>
      <c r="G173" s="14" t="str">
        <f>IF(OR(A173="",B173=""),"",SUMIFS(Purchases!$I$2:$I$500,Purchases!$B$2:$B$500,$A173,Purchases!$C$2:$C$500,$B173))</f>
        <v/>
      </c>
      <c r="H173" s="21" t="str">
        <f t="shared" si="16"/>
        <v/>
      </c>
      <c r="I173" s="21" t="str">
        <f t="shared" si="17"/>
        <v/>
      </c>
      <c r="J173" t="str">
        <f>IFERROR(INDEX(Employees!$C$2:$C$100,MATCH($B173,Employees!$A$2:$A$100,0)),"")</f>
        <v/>
      </c>
      <c r="K173">
        <f>IFERROR(INDEX(Employees!$D$2:$D$100,MATCH($B173,Employees!$A$2:$A$100,0)),0)</f>
        <v>0</v>
      </c>
      <c r="L173">
        <f>IFERROR(INDEX(Employees!$E$2:$E$100,MATCH($B173,Employees!$A$2:$A$100,0)),1)</f>
        <v>1</v>
      </c>
      <c r="M173">
        <f>IFERROR(INDEX(Employees!$F$2:$F$100,MATCH($B173,Employees!$A$2:$A$100,0)),1)</f>
        <v>1</v>
      </c>
    </row>
    <row r="174" spans="1:13">
      <c r="A174" s="5"/>
      <c r="B174" s="5"/>
      <c r="C174" s="13" t="str">
        <f>IF(OR(A174="",B174=""),"",SUMIFS(Timesheet!$I$2:$I$500,Timesheet!$B$2:$B$500,$A174,Timesheet!$C$2:$C$500,$B174))</f>
        <v/>
      </c>
      <c r="D174" s="14" t="str">
        <f>IF(B174="","",IFERROR(INDEX(Employees!$B$2:$B$100,MATCH($B174,Employees!$A$2:$A$100,0)),0))</f>
        <v/>
      </c>
      <c r="E174" s="21" t="str">
        <f t="shared" si="15"/>
        <v/>
      </c>
      <c r="F174" s="14" t="str">
        <f>IF(OR(A174="",B174=""),"",SUMIFS(Timesheet!$K$2:$K$500,Timesheet!$B$2:$B$500,$A174,Timesheet!$C$2:$C$500,$B174))</f>
        <v/>
      </c>
      <c r="G174" s="14" t="str">
        <f>IF(OR(A174="",B174=""),"",SUMIFS(Purchases!$I$2:$I$500,Purchases!$B$2:$B$500,$A174,Purchases!$C$2:$C$500,$B174))</f>
        <v/>
      </c>
      <c r="H174" s="21" t="str">
        <f t="shared" si="16"/>
        <v/>
      </c>
      <c r="I174" s="21" t="str">
        <f t="shared" si="17"/>
        <v/>
      </c>
      <c r="J174" t="str">
        <f>IFERROR(INDEX(Employees!$C$2:$C$100,MATCH($B174,Employees!$A$2:$A$100,0)),"")</f>
        <v/>
      </c>
      <c r="K174">
        <f>IFERROR(INDEX(Employees!$D$2:$D$100,MATCH($B174,Employees!$A$2:$A$100,0)),0)</f>
        <v>0</v>
      </c>
      <c r="L174">
        <f>IFERROR(INDEX(Employees!$E$2:$E$100,MATCH($B174,Employees!$A$2:$A$100,0)),1)</f>
        <v>1</v>
      </c>
      <c r="M174">
        <f>IFERROR(INDEX(Employees!$F$2:$F$100,MATCH($B174,Employees!$A$2:$A$100,0)),1)</f>
        <v>1</v>
      </c>
    </row>
    <row r="175" spans="1:13">
      <c r="A175" s="5"/>
      <c r="B175" s="5"/>
      <c r="C175" s="13" t="str">
        <f>IF(OR(A175="",B175=""),"",SUMIFS(Timesheet!$I$2:$I$500,Timesheet!$B$2:$B$500,$A175,Timesheet!$C$2:$C$500,$B175))</f>
        <v/>
      </c>
      <c r="D175" s="14" t="str">
        <f>IF(B175="","",IFERROR(INDEX(Employees!$B$2:$B$100,MATCH($B175,Employees!$A$2:$A$100,0)),0))</f>
        <v/>
      </c>
      <c r="E175" s="21" t="str">
        <f t="shared" si="15"/>
        <v/>
      </c>
      <c r="F175" s="14" t="str">
        <f>IF(OR(A175="",B175=""),"",SUMIFS(Timesheet!$K$2:$K$500,Timesheet!$B$2:$B$500,$A175,Timesheet!$C$2:$C$500,$B175))</f>
        <v/>
      </c>
      <c r="G175" s="14" t="str">
        <f>IF(OR(A175="",B175=""),"",SUMIFS(Purchases!$I$2:$I$500,Purchases!$B$2:$B$500,$A175,Purchases!$C$2:$C$500,$B175))</f>
        <v/>
      </c>
      <c r="H175" s="21" t="str">
        <f t="shared" si="16"/>
        <v/>
      </c>
      <c r="I175" s="21" t="str">
        <f t="shared" si="17"/>
        <v/>
      </c>
      <c r="J175" t="str">
        <f>IFERROR(INDEX(Employees!$C$2:$C$100,MATCH($B175,Employees!$A$2:$A$100,0)),"")</f>
        <v/>
      </c>
      <c r="K175">
        <f>IFERROR(INDEX(Employees!$D$2:$D$100,MATCH($B175,Employees!$A$2:$A$100,0)),0)</f>
        <v>0</v>
      </c>
      <c r="L175">
        <f>IFERROR(INDEX(Employees!$E$2:$E$100,MATCH($B175,Employees!$A$2:$A$100,0)),1)</f>
        <v>1</v>
      </c>
      <c r="M175">
        <f>IFERROR(INDEX(Employees!$F$2:$F$100,MATCH($B175,Employees!$A$2:$A$100,0)),1)</f>
        <v>1</v>
      </c>
    </row>
    <row r="176" spans="1:13">
      <c r="A176" s="5"/>
      <c r="B176" s="5"/>
      <c r="C176" s="13" t="str">
        <f>IF(OR(A176="",B176=""),"",SUMIFS(Timesheet!$I$2:$I$500,Timesheet!$B$2:$B$500,$A176,Timesheet!$C$2:$C$500,$B176))</f>
        <v/>
      </c>
      <c r="D176" s="14" t="str">
        <f>IF(B176="","",IFERROR(INDEX(Employees!$B$2:$B$100,MATCH($B176,Employees!$A$2:$A$100,0)),0))</f>
        <v/>
      </c>
      <c r="E176" s="21" t="str">
        <f t="shared" si="15"/>
        <v/>
      </c>
      <c r="F176" s="14" t="str">
        <f>IF(OR(A176="",B176=""),"",SUMIFS(Timesheet!$K$2:$K$500,Timesheet!$B$2:$B$500,$A176,Timesheet!$C$2:$C$500,$B176))</f>
        <v/>
      </c>
      <c r="G176" s="14" t="str">
        <f>IF(OR(A176="",B176=""),"",SUMIFS(Purchases!$I$2:$I$500,Purchases!$B$2:$B$500,$A176,Purchases!$C$2:$C$500,$B176))</f>
        <v/>
      </c>
      <c r="H176" s="21" t="str">
        <f t="shared" si="16"/>
        <v/>
      </c>
      <c r="I176" s="21" t="str">
        <f t="shared" si="17"/>
        <v/>
      </c>
      <c r="J176" t="str">
        <f>IFERROR(INDEX(Employees!$C$2:$C$100,MATCH($B176,Employees!$A$2:$A$100,0)),"")</f>
        <v/>
      </c>
      <c r="K176">
        <f>IFERROR(INDEX(Employees!$D$2:$D$100,MATCH($B176,Employees!$A$2:$A$100,0)),0)</f>
        <v>0</v>
      </c>
      <c r="L176">
        <f>IFERROR(INDEX(Employees!$E$2:$E$100,MATCH($B176,Employees!$A$2:$A$100,0)),1)</f>
        <v>1</v>
      </c>
      <c r="M176">
        <f>IFERROR(INDEX(Employees!$F$2:$F$100,MATCH($B176,Employees!$A$2:$A$100,0)),1)</f>
        <v>1</v>
      </c>
    </row>
    <row r="177" spans="1:13">
      <c r="A177" s="5"/>
      <c r="B177" s="5"/>
      <c r="C177" s="13" t="str">
        <f>IF(OR(A177="",B177=""),"",SUMIFS(Timesheet!$I$2:$I$500,Timesheet!$B$2:$B$500,$A177,Timesheet!$C$2:$C$500,$B177))</f>
        <v/>
      </c>
      <c r="D177" s="14" t="str">
        <f>IF(B177="","",IFERROR(INDEX(Employees!$B$2:$B$100,MATCH($B177,Employees!$A$2:$A$100,0)),0))</f>
        <v/>
      </c>
      <c r="E177" s="21" t="str">
        <f t="shared" si="15"/>
        <v/>
      </c>
      <c r="F177" s="14" t="str">
        <f>IF(OR(A177="",B177=""),"",SUMIFS(Timesheet!$K$2:$K$500,Timesheet!$B$2:$B$500,$A177,Timesheet!$C$2:$C$500,$B177))</f>
        <v/>
      </c>
      <c r="G177" s="14" t="str">
        <f>IF(OR(A177="",B177=""),"",SUMIFS(Purchases!$I$2:$I$500,Purchases!$B$2:$B$500,$A177,Purchases!$C$2:$C$500,$B177))</f>
        <v/>
      </c>
      <c r="H177" s="21" t="str">
        <f t="shared" si="16"/>
        <v/>
      </c>
      <c r="I177" s="21" t="str">
        <f t="shared" si="17"/>
        <v/>
      </c>
      <c r="J177" t="str">
        <f>IFERROR(INDEX(Employees!$C$2:$C$100,MATCH($B177,Employees!$A$2:$A$100,0)),"")</f>
        <v/>
      </c>
      <c r="K177">
        <f>IFERROR(INDEX(Employees!$D$2:$D$100,MATCH($B177,Employees!$A$2:$A$100,0)),0)</f>
        <v>0</v>
      </c>
      <c r="L177">
        <f>IFERROR(INDEX(Employees!$E$2:$E$100,MATCH($B177,Employees!$A$2:$A$100,0)),1)</f>
        <v>1</v>
      </c>
      <c r="M177">
        <f>IFERROR(INDEX(Employees!$F$2:$F$100,MATCH($B177,Employees!$A$2:$A$100,0)),1)</f>
        <v>1</v>
      </c>
    </row>
    <row r="178" spans="1:13">
      <c r="A178" s="5"/>
      <c r="B178" s="5"/>
      <c r="C178" s="13" t="str">
        <f>IF(OR(A178="",B178=""),"",SUMIFS(Timesheet!$I$2:$I$500,Timesheet!$B$2:$B$500,$A178,Timesheet!$C$2:$C$500,$B178))</f>
        <v/>
      </c>
      <c r="D178" s="14" t="str">
        <f>IF(B178="","",IFERROR(INDEX(Employees!$B$2:$B$100,MATCH($B178,Employees!$A$2:$A$100,0)),0))</f>
        <v/>
      </c>
      <c r="E178" s="21" t="str">
        <f t="shared" si="15"/>
        <v/>
      </c>
      <c r="F178" s="14" t="str">
        <f>IF(OR(A178="",B178=""),"",SUMIFS(Timesheet!$K$2:$K$500,Timesheet!$B$2:$B$500,$A178,Timesheet!$C$2:$C$500,$B178))</f>
        <v/>
      </c>
      <c r="G178" s="14" t="str">
        <f>IF(OR(A178="",B178=""),"",SUMIFS(Purchases!$I$2:$I$500,Purchases!$B$2:$B$500,$A178,Purchases!$C$2:$C$500,$B178))</f>
        <v/>
      </c>
      <c r="H178" s="21" t="str">
        <f t="shared" si="16"/>
        <v/>
      </c>
      <c r="I178" s="21" t="str">
        <f t="shared" si="17"/>
        <v/>
      </c>
      <c r="J178" t="str">
        <f>IFERROR(INDEX(Employees!$C$2:$C$100,MATCH($B178,Employees!$A$2:$A$100,0)),"")</f>
        <v/>
      </c>
      <c r="K178">
        <f>IFERROR(INDEX(Employees!$D$2:$D$100,MATCH($B178,Employees!$A$2:$A$100,0)),0)</f>
        <v>0</v>
      </c>
      <c r="L178">
        <f>IFERROR(INDEX(Employees!$E$2:$E$100,MATCH($B178,Employees!$A$2:$A$100,0)),1)</f>
        <v>1</v>
      </c>
      <c r="M178">
        <f>IFERROR(INDEX(Employees!$F$2:$F$100,MATCH($B178,Employees!$A$2:$A$100,0)),1)</f>
        <v>1</v>
      </c>
    </row>
    <row r="179" spans="1:13">
      <c r="A179" s="5"/>
      <c r="B179" s="5"/>
      <c r="C179" s="13" t="str">
        <f>IF(OR(A179="",B179=""),"",SUMIFS(Timesheet!$I$2:$I$500,Timesheet!$B$2:$B$500,$A179,Timesheet!$C$2:$C$500,$B179))</f>
        <v/>
      </c>
      <c r="D179" s="14" t="str">
        <f>IF(B179="","",IFERROR(INDEX(Employees!$B$2:$B$100,MATCH($B179,Employees!$A$2:$A$100,0)),0))</f>
        <v/>
      </c>
      <c r="E179" s="21" t="str">
        <f t="shared" si="15"/>
        <v/>
      </c>
      <c r="F179" s="14" t="str">
        <f>IF(OR(A179="",B179=""),"",SUMIFS(Timesheet!$K$2:$K$500,Timesheet!$B$2:$B$500,$A179,Timesheet!$C$2:$C$500,$B179))</f>
        <v/>
      </c>
      <c r="G179" s="14" t="str">
        <f>IF(OR(A179="",B179=""),"",SUMIFS(Purchases!$I$2:$I$500,Purchases!$B$2:$B$500,$A179,Purchases!$C$2:$C$500,$B179))</f>
        <v/>
      </c>
      <c r="H179" s="21" t="str">
        <f t="shared" si="16"/>
        <v/>
      </c>
      <c r="I179" s="21" t="str">
        <f t="shared" si="17"/>
        <v/>
      </c>
      <c r="J179" t="str">
        <f>IFERROR(INDEX(Employees!$C$2:$C$100,MATCH($B179,Employees!$A$2:$A$100,0)),"")</f>
        <v/>
      </c>
      <c r="K179">
        <f>IFERROR(INDEX(Employees!$D$2:$D$100,MATCH($B179,Employees!$A$2:$A$100,0)),0)</f>
        <v>0</v>
      </c>
      <c r="L179">
        <f>IFERROR(INDEX(Employees!$E$2:$E$100,MATCH($B179,Employees!$A$2:$A$100,0)),1)</f>
        <v>1</v>
      </c>
      <c r="M179">
        <f>IFERROR(INDEX(Employees!$F$2:$F$100,MATCH($B179,Employees!$A$2:$A$100,0)),1)</f>
        <v>1</v>
      </c>
    </row>
    <row r="180" spans="1:13">
      <c r="A180" s="5"/>
      <c r="B180" s="5"/>
      <c r="C180" s="13" t="str">
        <f>IF(OR(A180="",B180=""),"",SUMIFS(Timesheet!$I$2:$I$500,Timesheet!$B$2:$B$500,$A180,Timesheet!$C$2:$C$500,$B180))</f>
        <v/>
      </c>
      <c r="D180" s="14" t="str">
        <f>IF(B180="","",IFERROR(INDEX(Employees!$B$2:$B$100,MATCH($B180,Employees!$A$2:$A$100,0)),0))</f>
        <v/>
      </c>
      <c r="E180" s="21" t="str">
        <f t="shared" si="15"/>
        <v/>
      </c>
      <c r="F180" s="14" t="str">
        <f>IF(OR(A180="",B180=""),"",SUMIFS(Timesheet!$K$2:$K$500,Timesheet!$B$2:$B$500,$A180,Timesheet!$C$2:$C$500,$B180))</f>
        <v/>
      </c>
      <c r="G180" s="14" t="str">
        <f>IF(OR(A180="",B180=""),"",SUMIFS(Purchases!$I$2:$I$500,Purchases!$B$2:$B$500,$A180,Purchases!$C$2:$C$500,$B180))</f>
        <v/>
      </c>
      <c r="H180" s="21" t="str">
        <f t="shared" si="16"/>
        <v/>
      </c>
      <c r="I180" s="21" t="str">
        <f t="shared" si="17"/>
        <v/>
      </c>
      <c r="J180" t="str">
        <f>IFERROR(INDEX(Employees!$C$2:$C$100,MATCH($B180,Employees!$A$2:$A$100,0)),"")</f>
        <v/>
      </c>
      <c r="K180">
        <f>IFERROR(INDEX(Employees!$D$2:$D$100,MATCH($B180,Employees!$A$2:$A$100,0)),0)</f>
        <v>0</v>
      </c>
      <c r="L180">
        <f>IFERROR(INDEX(Employees!$E$2:$E$100,MATCH($B180,Employees!$A$2:$A$100,0)),1)</f>
        <v>1</v>
      </c>
      <c r="M180">
        <f>IFERROR(INDEX(Employees!$F$2:$F$100,MATCH($B180,Employees!$A$2:$A$100,0)),1)</f>
        <v>1</v>
      </c>
    </row>
    <row r="181" spans="1:13">
      <c r="A181" s="5"/>
      <c r="B181" s="5"/>
      <c r="C181" s="13" t="str">
        <f>IF(OR(A181="",B181=""),"",SUMIFS(Timesheet!$I$2:$I$500,Timesheet!$B$2:$B$500,$A181,Timesheet!$C$2:$C$500,$B181))</f>
        <v/>
      </c>
      <c r="D181" s="14" t="str">
        <f>IF(B181="","",IFERROR(INDEX(Employees!$B$2:$B$100,MATCH($B181,Employees!$A$2:$A$100,0)),0))</f>
        <v/>
      </c>
      <c r="E181" s="21" t="str">
        <f t="shared" si="15"/>
        <v/>
      </c>
      <c r="F181" s="14" t="str">
        <f>IF(OR(A181="",B181=""),"",SUMIFS(Timesheet!$K$2:$K$500,Timesheet!$B$2:$B$500,$A181,Timesheet!$C$2:$C$500,$B181))</f>
        <v/>
      </c>
      <c r="G181" s="14" t="str">
        <f>IF(OR(A181="",B181=""),"",SUMIFS(Purchases!$I$2:$I$500,Purchases!$B$2:$B$500,$A181,Purchases!$C$2:$C$500,$B181))</f>
        <v/>
      </c>
      <c r="H181" s="21" t="str">
        <f t="shared" si="16"/>
        <v/>
      </c>
      <c r="I181" s="21" t="str">
        <f t="shared" si="17"/>
        <v/>
      </c>
      <c r="J181" t="str">
        <f>IFERROR(INDEX(Employees!$C$2:$C$100,MATCH($B181,Employees!$A$2:$A$100,0)),"")</f>
        <v/>
      </c>
      <c r="K181">
        <f>IFERROR(INDEX(Employees!$D$2:$D$100,MATCH($B181,Employees!$A$2:$A$100,0)),0)</f>
        <v>0</v>
      </c>
      <c r="L181">
        <f>IFERROR(INDEX(Employees!$E$2:$E$100,MATCH($B181,Employees!$A$2:$A$100,0)),1)</f>
        <v>1</v>
      </c>
      <c r="M181">
        <f>IFERROR(INDEX(Employees!$F$2:$F$100,MATCH($B181,Employees!$A$2:$A$100,0)),1)</f>
        <v>1</v>
      </c>
    </row>
    <row r="182" spans="1:13">
      <c r="A182" s="5"/>
      <c r="B182" s="5"/>
      <c r="C182" s="13" t="str">
        <f>IF(OR(A182="",B182=""),"",SUMIFS(Timesheet!$I$2:$I$500,Timesheet!$B$2:$B$500,$A182,Timesheet!$C$2:$C$500,$B182))</f>
        <v/>
      </c>
      <c r="D182" s="14" t="str">
        <f>IF(B182="","",IFERROR(INDEX(Employees!$B$2:$B$100,MATCH($B182,Employees!$A$2:$A$100,0)),0))</f>
        <v/>
      </c>
      <c r="E182" s="21" t="str">
        <f t="shared" si="15"/>
        <v/>
      </c>
      <c r="F182" s="14" t="str">
        <f>IF(OR(A182="",B182=""),"",SUMIFS(Timesheet!$K$2:$K$500,Timesheet!$B$2:$B$500,$A182,Timesheet!$C$2:$C$500,$B182))</f>
        <v/>
      </c>
      <c r="G182" s="14" t="str">
        <f>IF(OR(A182="",B182=""),"",SUMIFS(Purchases!$I$2:$I$500,Purchases!$B$2:$B$500,$A182,Purchases!$C$2:$C$500,$B182))</f>
        <v/>
      </c>
      <c r="H182" s="21" t="str">
        <f t="shared" si="16"/>
        <v/>
      </c>
      <c r="I182" s="21" t="str">
        <f t="shared" si="17"/>
        <v/>
      </c>
      <c r="J182" t="str">
        <f>IFERROR(INDEX(Employees!$C$2:$C$100,MATCH($B182,Employees!$A$2:$A$100,0)),"")</f>
        <v/>
      </c>
      <c r="K182">
        <f>IFERROR(INDEX(Employees!$D$2:$D$100,MATCH($B182,Employees!$A$2:$A$100,0)),0)</f>
        <v>0</v>
      </c>
      <c r="L182">
        <f>IFERROR(INDEX(Employees!$E$2:$E$100,MATCH($B182,Employees!$A$2:$A$100,0)),1)</f>
        <v>1</v>
      </c>
      <c r="M182">
        <f>IFERROR(INDEX(Employees!$F$2:$F$100,MATCH($B182,Employees!$A$2:$A$100,0)),1)</f>
        <v>1</v>
      </c>
    </row>
    <row r="183" spans="1:13">
      <c r="A183" s="5"/>
      <c r="B183" s="5"/>
      <c r="C183" s="13" t="str">
        <f>IF(OR(A183="",B183=""),"",SUMIFS(Timesheet!$I$2:$I$500,Timesheet!$B$2:$B$500,$A183,Timesheet!$C$2:$C$500,$B183))</f>
        <v/>
      </c>
      <c r="D183" s="14" t="str">
        <f>IF(B183="","",IFERROR(INDEX(Employees!$B$2:$B$100,MATCH($B183,Employees!$A$2:$A$100,0)),0))</f>
        <v/>
      </c>
      <c r="E183" s="21" t="str">
        <f t="shared" si="15"/>
        <v/>
      </c>
      <c r="F183" s="14" t="str">
        <f>IF(OR(A183="",B183=""),"",SUMIFS(Timesheet!$K$2:$K$500,Timesheet!$B$2:$B$500,$A183,Timesheet!$C$2:$C$500,$B183))</f>
        <v/>
      </c>
      <c r="G183" s="14" t="str">
        <f>IF(OR(A183="",B183=""),"",SUMIFS(Purchases!$I$2:$I$500,Purchases!$B$2:$B$500,$A183,Purchases!$C$2:$C$500,$B183))</f>
        <v/>
      </c>
      <c r="H183" s="21" t="str">
        <f t="shared" si="16"/>
        <v/>
      </c>
      <c r="I183" s="21" t="str">
        <f t="shared" si="17"/>
        <v/>
      </c>
      <c r="J183" t="str">
        <f>IFERROR(INDEX(Employees!$C$2:$C$100,MATCH($B183,Employees!$A$2:$A$100,0)),"")</f>
        <v/>
      </c>
      <c r="K183">
        <f>IFERROR(INDEX(Employees!$D$2:$D$100,MATCH($B183,Employees!$A$2:$A$100,0)),0)</f>
        <v>0</v>
      </c>
      <c r="L183">
        <f>IFERROR(INDEX(Employees!$E$2:$E$100,MATCH($B183,Employees!$A$2:$A$100,0)),1)</f>
        <v>1</v>
      </c>
      <c r="M183">
        <f>IFERROR(INDEX(Employees!$F$2:$F$100,MATCH($B183,Employees!$A$2:$A$100,0)),1)</f>
        <v>1</v>
      </c>
    </row>
    <row r="184" spans="1:13">
      <c r="A184" s="5"/>
      <c r="B184" s="5"/>
      <c r="C184" s="13" t="str">
        <f>IF(OR(A184="",B184=""),"",SUMIFS(Timesheet!$I$2:$I$500,Timesheet!$B$2:$B$500,$A184,Timesheet!$C$2:$C$500,$B184))</f>
        <v/>
      </c>
      <c r="D184" s="14" t="str">
        <f>IF(B184="","",IFERROR(INDEX(Employees!$B$2:$B$100,MATCH($B184,Employees!$A$2:$A$100,0)),0))</f>
        <v/>
      </c>
      <c r="E184" s="21" t="str">
        <f t="shared" si="15"/>
        <v/>
      </c>
      <c r="F184" s="14" t="str">
        <f>IF(OR(A184="",B184=""),"",SUMIFS(Timesheet!$K$2:$K$500,Timesheet!$B$2:$B$500,$A184,Timesheet!$C$2:$C$500,$B184))</f>
        <v/>
      </c>
      <c r="G184" s="14" t="str">
        <f>IF(OR(A184="",B184=""),"",SUMIFS(Purchases!$I$2:$I$500,Purchases!$B$2:$B$500,$A184,Purchases!$C$2:$C$500,$B184))</f>
        <v/>
      </c>
      <c r="H184" s="21" t="str">
        <f t="shared" si="16"/>
        <v/>
      </c>
      <c r="I184" s="21" t="str">
        <f t="shared" si="17"/>
        <v/>
      </c>
      <c r="J184" t="str">
        <f>IFERROR(INDEX(Employees!$C$2:$C$100,MATCH($B184,Employees!$A$2:$A$100,0)),"")</f>
        <v/>
      </c>
      <c r="K184">
        <f>IFERROR(INDEX(Employees!$D$2:$D$100,MATCH($B184,Employees!$A$2:$A$100,0)),0)</f>
        <v>0</v>
      </c>
      <c r="L184">
        <f>IFERROR(INDEX(Employees!$E$2:$E$100,MATCH($B184,Employees!$A$2:$A$100,0)),1)</f>
        <v>1</v>
      </c>
      <c r="M184">
        <f>IFERROR(INDEX(Employees!$F$2:$F$100,MATCH($B184,Employees!$A$2:$A$100,0)),1)</f>
        <v>1</v>
      </c>
    </row>
    <row r="185" spans="1:13">
      <c r="A185" s="5"/>
      <c r="B185" s="5"/>
      <c r="C185" s="13" t="str">
        <f>IF(OR(A185="",B185=""),"",SUMIFS(Timesheet!$I$2:$I$500,Timesheet!$B$2:$B$500,$A185,Timesheet!$C$2:$C$500,$B185))</f>
        <v/>
      </c>
      <c r="D185" s="14" t="str">
        <f>IF(B185="","",IFERROR(INDEX(Employees!$B$2:$B$100,MATCH($B185,Employees!$A$2:$A$100,0)),0))</f>
        <v/>
      </c>
      <c r="E185" s="21" t="str">
        <f t="shared" si="15"/>
        <v/>
      </c>
      <c r="F185" s="14" t="str">
        <f>IF(OR(A185="",B185=""),"",SUMIFS(Timesheet!$K$2:$K$500,Timesheet!$B$2:$B$500,$A185,Timesheet!$C$2:$C$500,$B185))</f>
        <v/>
      </c>
      <c r="G185" s="14" t="str">
        <f>IF(OR(A185="",B185=""),"",SUMIFS(Purchases!$I$2:$I$500,Purchases!$B$2:$B$500,$A185,Purchases!$C$2:$C$500,$B185))</f>
        <v/>
      </c>
      <c r="H185" s="21" t="str">
        <f t="shared" si="16"/>
        <v/>
      </c>
      <c r="I185" s="21" t="str">
        <f t="shared" si="17"/>
        <v/>
      </c>
      <c r="J185" t="str">
        <f>IFERROR(INDEX(Employees!$C$2:$C$100,MATCH($B185,Employees!$A$2:$A$100,0)),"")</f>
        <v/>
      </c>
      <c r="K185">
        <f>IFERROR(INDEX(Employees!$D$2:$D$100,MATCH($B185,Employees!$A$2:$A$100,0)),0)</f>
        <v>0</v>
      </c>
      <c r="L185">
        <f>IFERROR(INDEX(Employees!$E$2:$E$100,MATCH($B185,Employees!$A$2:$A$100,0)),1)</f>
        <v>1</v>
      </c>
      <c r="M185">
        <f>IFERROR(INDEX(Employees!$F$2:$F$100,MATCH($B185,Employees!$A$2:$A$100,0)),1)</f>
        <v>1</v>
      </c>
    </row>
    <row r="186" spans="1:13">
      <c r="A186" s="5"/>
      <c r="B186" s="5"/>
      <c r="C186" s="13" t="str">
        <f>IF(OR(A186="",B186=""),"",SUMIFS(Timesheet!$I$2:$I$500,Timesheet!$B$2:$B$500,$A186,Timesheet!$C$2:$C$500,$B186))</f>
        <v/>
      </c>
      <c r="D186" s="14" t="str">
        <f>IF(B186="","",IFERROR(INDEX(Employees!$B$2:$B$100,MATCH($B186,Employees!$A$2:$A$100,0)),0))</f>
        <v/>
      </c>
      <c r="E186" s="21" t="str">
        <f t="shared" si="15"/>
        <v/>
      </c>
      <c r="F186" s="14" t="str">
        <f>IF(OR(A186="",B186=""),"",SUMIFS(Timesheet!$K$2:$K$500,Timesheet!$B$2:$B$500,$A186,Timesheet!$C$2:$C$500,$B186))</f>
        <v/>
      </c>
      <c r="G186" s="14" t="str">
        <f>IF(OR(A186="",B186=""),"",SUMIFS(Purchases!$I$2:$I$500,Purchases!$B$2:$B$500,$A186,Purchases!$C$2:$C$500,$B186))</f>
        <v/>
      </c>
      <c r="H186" s="21" t="str">
        <f t="shared" si="16"/>
        <v/>
      </c>
      <c r="I186" s="21" t="str">
        <f t="shared" si="17"/>
        <v/>
      </c>
      <c r="J186" t="str">
        <f>IFERROR(INDEX(Employees!$C$2:$C$100,MATCH($B186,Employees!$A$2:$A$100,0)),"")</f>
        <v/>
      </c>
      <c r="K186">
        <f>IFERROR(INDEX(Employees!$D$2:$D$100,MATCH($B186,Employees!$A$2:$A$100,0)),0)</f>
        <v>0</v>
      </c>
      <c r="L186">
        <f>IFERROR(INDEX(Employees!$E$2:$E$100,MATCH($B186,Employees!$A$2:$A$100,0)),1)</f>
        <v>1</v>
      </c>
      <c r="M186">
        <f>IFERROR(INDEX(Employees!$F$2:$F$100,MATCH($B186,Employees!$A$2:$A$100,0)),1)</f>
        <v>1</v>
      </c>
    </row>
    <row r="187" spans="1:13">
      <c r="A187" s="5"/>
      <c r="B187" s="5"/>
      <c r="C187" s="13" t="str">
        <f>IF(OR(A187="",B187=""),"",SUMIFS(Timesheet!$I$2:$I$500,Timesheet!$B$2:$B$500,$A187,Timesheet!$C$2:$C$500,$B187))</f>
        <v/>
      </c>
      <c r="D187" s="14" t="str">
        <f>IF(B187="","",IFERROR(INDEX(Employees!$B$2:$B$100,MATCH($B187,Employees!$A$2:$A$100,0)),0))</f>
        <v/>
      </c>
      <c r="E187" s="21" t="str">
        <f t="shared" si="15"/>
        <v/>
      </c>
      <c r="F187" s="14" t="str">
        <f>IF(OR(A187="",B187=""),"",SUMIFS(Timesheet!$K$2:$K$500,Timesheet!$B$2:$B$500,$A187,Timesheet!$C$2:$C$500,$B187))</f>
        <v/>
      </c>
      <c r="G187" s="14" t="str">
        <f>IF(OR(A187="",B187=""),"",SUMIFS(Purchases!$I$2:$I$500,Purchases!$B$2:$B$500,$A187,Purchases!$C$2:$C$500,$B187))</f>
        <v/>
      </c>
      <c r="H187" s="21" t="str">
        <f t="shared" si="16"/>
        <v/>
      </c>
      <c r="I187" s="21" t="str">
        <f t="shared" si="17"/>
        <v/>
      </c>
      <c r="J187" t="str">
        <f>IFERROR(INDEX(Employees!$C$2:$C$100,MATCH($B187,Employees!$A$2:$A$100,0)),"")</f>
        <v/>
      </c>
      <c r="K187">
        <f>IFERROR(INDEX(Employees!$D$2:$D$100,MATCH($B187,Employees!$A$2:$A$100,0)),0)</f>
        <v>0</v>
      </c>
      <c r="L187">
        <f>IFERROR(INDEX(Employees!$E$2:$E$100,MATCH($B187,Employees!$A$2:$A$100,0)),1)</f>
        <v>1</v>
      </c>
      <c r="M187">
        <f>IFERROR(INDEX(Employees!$F$2:$F$100,MATCH($B187,Employees!$A$2:$A$100,0)),1)</f>
        <v>1</v>
      </c>
    </row>
    <row r="188" spans="1:13">
      <c r="A188" s="5"/>
      <c r="B188" s="5"/>
      <c r="C188" s="13" t="str">
        <f>IF(OR(A188="",B188=""),"",SUMIFS(Timesheet!$I$2:$I$500,Timesheet!$B$2:$B$500,$A188,Timesheet!$C$2:$C$500,$B188))</f>
        <v/>
      </c>
      <c r="D188" s="14" t="str">
        <f>IF(B188="","",IFERROR(INDEX(Employees!$B$2:$B$100,MATCH($B188,Employees!$A$2:$A$100,0)),0))</f>
        <v/>
      </c>
      <c r="E188" s="21" t="str">
        <f t="shared" si="15"/>
        <v/>
      </c>
      <c r="F188" s="14" t="str">
        <f>IF(OR(A188="",B188=""),"",SUMIFS(Timesheet!$K$2:$K$500,Timesheet!$B$2:$B$500,$A188,Timesheet!$C$2:$C$500,$B188))</f>
        <v/>
      </c>
      <c r="G188" s="14" t="str">
        <f>IF(OR(A188="",B188=""),"",SUMIFS(Purchases!$I$2:$I$500,Purchases!$B$2:$B$500,$A188,Purchases!$C$2:$C$500,$B188))</f>
        <v/>
      </c>
      <c r="H188" s="21" t="str">
        <f t="shared" si="16"/>
        <v/>
      </c>
      <c r="I188" s="21" t="str">
        <f t="shared" si="17"/>
        <v/>
      </c>
      <c r="J188" t="str">
        <f>IFERROR(INDEX(Employees!$C$2:$C$100,MATCH($B188,Employees!$A$2:$A$100,0)),"")</f>
        <v/>
      </c>
      <c r="K188">
        <f>IFERROR(INDEX(Employees!$D$2:$D$100,MATCH($B188,Employees!$A$2:$A$100,0)),0)</f>
        <v>0</v>
      </c>
      <c r="L188">
        <f>IFERROR(INDEX(Employees!$E$2:$E$100,MATCH($B188,Employees!$A$2:$A$100,0)),1)</f>
        <v>1</v>
      </c>
      <c r="M188">
        <f>IFERROR(INDEX(Employees!$F$2:$F$100,MATCH($B188,Employees!$A$2:$A$100,0)),1)</f>
        <v>1</v>
      </c>
    </row>
    <row r="189" spans="1:13">
      <c r="A189" s="5"/>
      <c r="B189" s="5"/>
      <c r="C189" s="13" t="str">
        <f>IF(OR(A189="",B189=""),"",SUMIFS(Timesheet!$I$2:$I$500,Timesheet!$B$2:$B$500,$A189,Timesheet!$C$2:$C$500,$B189))</f>
        <v/>
      </c>
      <c r="D189" s="14" t="str">
        <f>IF(B189="","",IFERROR(INDEX(Employees!$B$2:$B$100,MATCH($B189,Employees!$A$2:$A$100,0)),0))</f>
        <v/>
      </c>
      <c r="E189" s="21" t="str">
        <f t="shared" si="15"/>
        <v/>
      </c>
      <c r="F189" s="14" t="str">
        <f>IF(OR(A189="",B189=""),"",SUMIFS(Timesheet!$K$2:$K$500,Timesheet!$B$2:$B$500,$A189,Timesheet!$C$2:$C$500,$B189))</f>
        <v/>
      </c>
      <c r="G189" s="14" t="str">
        <f>IF(OR(A189="",B189=""),"",SUMIFS(Purchases!$I$2:$I$500,Purchases!$B$2:$B$500,$A189,Purchases!$C$2:$C$500,$B189))</f>
        <v/>
      </c>
      <c r="H189" s="21" t="str">
        <f t="shared" si="16"/>
        <v/>
      </c>
      <c r="I189" s="21" t="str">
        <f t="shared" si="17"/>
        <v/>
      </c>
      <c r="J189" t="str">
        <f>IFERROR(INDEX(Employees!$C$2:$C$100,MATCH($B189,Employees!$A$2:$A$100,0)),"")</f>
        <v/>
      </c>
      <c r="K189">
        <f>IFERROR(INDEX(Employees!$D$2:$D$100,MATCH($B189,Employees!$A$2:$A$100,0)),0)</f>
        <v>0</v>
      </c>
      <c r="L189">
        <f>IFERROR(INDEX(Employees!$E$2:$E$100,MATCH($B189,Employees!$A$2:$A$100,0)),1)</f>
        <v>1</v>
      </c>
      <c r="M189">
        <f>IFERROR(INDEX(Employees!$F$2:$F$100,MATCH($B189,Employees!$A$2:$A$100,0)),1)</f>
        <v>1</v>
      </c>
    </row>
    <row r="190" spans="1:13">
      <c r="A190" s="5"/>
      <c r="B190" s="5"/>
      <c r="C190" s="13" t="str">
        <f>IF(OR(A190="",B190=""),"",SUMIFS(Timesheet!$I$2:$I$500,Timesheet!$B$2:$B$500,$A190,Timesheet!$C$2:$C$500,$B190))</f>
        <v/>
      </c>
      <c r="D190" s="14" t="str">
        <f>IF(B190="","",IFERROR(INDEX(Employees!$B$2:$B$100,MATCH($B190,Employees!$A$2:$A$100,0)),0))</f>
        <v/>
      </c>
      <c r="E190" s="21" t="str">
        <f t="shared" si="15"/>
        <v/>
      </c>
      <c r="F190" s="14" t="str">
        <f>IF(OR(A190="",B190=""),"",SUMIFS(Timesheet!$K$2:$K$500,Timesheet!$B$2:$B$500,$A190,Timesheet!$C$2:$C$500,$B190))</f>
        <v/>
      </c>
      <c r="G190" s="14" t="str">
        <f>IF(OR(A190="",B190=""),"",SUMIFS(Purchases!$I$2:$I$500,Purchases!$B$2:$B$500,$A190,Purchases!$C$2:$C$500,$B190))</f>
        <v/>
      </c>
      <c r="H190" s="21" t="str">
        <f t="shared" si="16"/>
        <v/>
      </c>
      <c r="I190" s="21" t="str">
        <f t="shared" si="17"/>
        <v/>
      </c>
      <c r="J190" t="str">
        <f>IFERROR(INDEX(Employees!$C$2:$C$100,MATCH($B190,Employees!$A$2:$A$100,0)),"")</f>
        <v/>
      </c>
      <c r="K190">
        <f>IFERROR(INDEX(Employees!$D$2:$D$100,MATCH($B190,Employees!$A$2:$A$100,0)),0)</f>
        <v>0</v>
      </c>
      <c r="L190">
        <f>IFERROR(INDEX(Employees!$E$2:$E$100,MATCH($B190,Employees!$A$2:$A$100,0)),1)</f>
        <v>1</v>
      </c>
      <c r="M190">
        <f>IFERROR(INDEX(Employees!$F$2:$F$100,MATCH($B190,Employees!$A$2:$A$100,0)),1)</f>
        <v>1</v>
      </c>
    </row>
    <row r="191" spans="1:13">
      <c r="A191" s="5"/>
      <c r="B191" s="5"/>
      <c r="C191" s="13" t="str">
        <f>IF(OR(A191="",B191=""),"",SUMIFS(Timesheet!$I$2:$I$500,Timesheet!$B$2:$B$500,$A191,Timesheet!$C$2:$C$500,$B191))</f>
        <v/>
      </c>
      <c r="D191" s="14" t="str">
        <f>IF(B191="","",IFERROR(INDEX(Employees!$B$2:$B$100,MATCH($B191,Employees!$A$2:$A$100,0)),0))</f>
        <v/>
      </c>
      <c r="E191" s="21" t="str">
        <f t="shared" si="15"/>
        <v/>
      </c>
      <c r="F191" s="14" t="str">
        <f>IF(OR(A191="",B191=""),"",SUMIFS(Timesheet!$K$2:$K$500,Timesheet!$B$2:$B$500,$A191,Timesheet!$C$2:$C$500,$B191))</f>
        <v/>
      </c>
      <c r="G191" s="14" t="str">
        <f>IF(OR(A191="",B191=""),"",SUMIFS(Purchases!$I$2:$I$500,Purchases!$B$2:$B$500,$A191,Purchases!$C$2:$C$500,$B191))</f>
        <v/>
      </c>
      <c r="H191" s="21" t="str">
        <f t="shared" si="16"/>
        <v/>
      </c>
      <c r="I191" s="21" t="str">
        <f t="shared" si="17"/>
        <v/>
      </c>
      <c r="J191" t="str">
        <f>IFERROR(INDEX(Employees!$C$2:$C$100,MATCH($B191,Employees!$A$2:$A$100,0)),"")</f>
        <v/>
      </c>
      <c r="K191">
        <f>IFERROR(INDEX(Employees!$D$2:$D$100,MATCH($B191,Employees!$A$2:$A$100,0)),0)</f>
        <v>0</v>
      </c>
      <c r="L191">
        <f>IFERROR(INDEX(Employees!$E$2:$E$100,MATCH($B191,Employees!$A$2:$A$100,0)),1)</f>
        <v>1</v>
      </c>
      <c r="M191">
        <f>IFERROR(INDEX(Employees!$F$2:$F$100,MATCH($B191,Employees!$A$2:$A$100,0)),1)</f>
        <v>1</v>
      </c>
    </row>
    <row r="192" spans="1:13">
      <c r="A192" s="5"/>
      <c r="B192" s="5"/>
      <c r="C192" s="13" t="str">
        <f>IF(OR(A192="",B192=""),"",SUMIFS(Timesheet!$I$2:$I$500,Timesheet!$B$2:$B$500,$A192,Timesheet!$C$2:$C$500,$B192))</f>
        <v/>
      </c>
      <c r="D192" s="14" t="str">
        <f>IF(B192="","",IFERROR(INDEX(Employees!$B$2:$B$100,MATCH($B192,Employees!$A$2:$A$100,0)),0))</f>
        <v/>
      </c>
      <c r="E192" s="21" t="str">
        <f t="shared" si="15"/>
        <v/>
      </c>
      <c r="F192" s="14" t="str">
        <f>IF(OR(A192="",B192=""),"",SUMIFS(Timesheet!$K$2:$K$500,Timesheet!$B$2:$B$500,$A192,Timesheet!$C$2:$C$500,$B192))</f>
        <v/>
      </c>
      <c r="G192" s="14" t="str">
        <f>IF(OR(A192="",B192=""),"",SUMIFS(Purchases!$I$2:$I$500,Purchases!$B$2:$B$500,$A192,Purchases!$C$2:$C$500,$B192))</f>
        <v/>
      </c>
      <c r="H192" s="21" t="str">
        <f t="shared" si="16"/>
        <v/>
      </c>
      <c r="I192" s="21" t="str">
        <f t="shared" si="17"/>
        <v/>
      </c>
      <c r="J192" t="str">
        <f>IFERROR(INDEX(Employees!$C$2:$C$100,MATCH($B192,Employees!$A$2:$A$100,0)),"")</f>
        <v/>
      </c>
      <c r="K192">
        <f>IFERROR(INDEX(Employees!$D$2:$D$100,MATCH($B192,Employees!$A$2:$A$100,0)),0)</f>
        <v>0</v>
      </c>
      <c r="L192">
        <f>IFERROR(INDEX(Employees!$E$2:$E$100,MATCH($B192,Employees!$A$2:$A$100,0)),1)</f>
        <v>1</v>
      </c>
      <c r="M192">
        <f>IFERROR(INDEX(Employees!$F$2:$F$100,MATCH($B192,Employees!$A$2:$A$100,0)),1)</f>
        <v>1</v>
      </c>
    </row>
    <row r="193" spans="1:13">
      <c r="A193" s="5"/>
      <c r="B193" s="5"/>
      <c r="C193" s="13" t="str">
        <f>IF(OR(A193="",B193=""),"",SUMIFS(Timesheet!$I$2:$I$500,Timesheet!$B$2:$B$500,$A193,Timesheet!$C$2:$C$500,$B193))</f>
        <v/>
      </c>
      <c r="D193" s="14" t="str">
        <f>IF(B193="","",IFERROR(INDEX(Employees!$B$2:$B$100,MATCH($B193,Employees!$A$2:$A$100,0)),0))</f>
        <v/>
      </c>
      <c r="E193" s="21" t="str">
        <f t="shared" si="15"/>
        <v/>
      </c>
      <c r="F193" s="14" t="str">
        <f>IF(OR(A193="",B193=""),"",SUMIFS(Timesheet!$K$2:$K$500,Timesheet!$B$2:$B$500,$A193,Timesheet!$C$2:$C$500,$B193))</f>
        <v/>
      </c>
      <c r="G193" s="14" t="str">
        <f>IF(OR(A193="",B193=""),"",SUMIFS(Purchases!$I$2:$I$500,Purchases!$B$2:$B$500,$A193,Purchases!$C$2:$C$500,$B193))</f>
        <v/>
      </c>
      <c r="H193" s="21" t="str">
        <f t="shared" si="16"/>
        <v/>
      </c>
      <c r="I193" s="21" t="str">
        <f t="shared" si="17"/>
        <v/>
      </c>
      <c r="J193" t="str">
        <f>IFERROR(INDEX(Employees!$C$2:$C$100,MATCH($B193,Employees!$A$2:$A$100,0)),"")</f>
        <v/>
      </c>
      <c r="K193">
        <f>IFERROR(INDEX(Employees!$D$2:$D$100,MATCH($B193,Employees!$A$2:$A$100,0)),0)</f>
        <v>0</v>
      </c>
      <c r="L193">
        <f>IFERROR(INDEX(Employees!$E$2:$E$100,MATCH($B193,Employees!$A$2:$A$100,0)),1)</f>
        <v>1</v>
      </c>
      <c r="M193">
        <f>IFERROR(INDEX(Employees!$F$2:$F$100,MATCH($B193,Employees!$A$2:$A$100,0)),1)</f>
        <v>1</v>
      </c>
    </row>
    <row r="194" spans="1:13">
      <c r="A194" s="5"/>
      <c r="B194" s="5"/>
      <c r="C194" s="13" t="str">
        <f>IF(OR(A194="",B194=""),"",SUMIFS(Timesheet!$I$2:$I$500,Timesheet!$B$2:$B$500,$A194,Timesheet!$C$2:$C$500,$B194))</f>
        <v/>
      </c>
      <c r="D194" s="14" t="str">
        <f>IF(B194="","",IFERROR(INDEX(Employees!$B$2:$B$100,MATCH($B194,Employees!$A$2:$A$100,0)),0))</f>
        <v/>
      </c>
      <c r="E194" s="21" t="str">
        <f t="shared" ref="E194:E225" si="18">IF(C194="","",ROUND(C194*D194,0))</f>
        <v/>
      </c>
      <c r="F194" s="14" t="str">
        <f>IF(OR(A194="",B194=""),"",SUMIFS(Timesheet!$K$2:$K$500,Timesheet!$B$2:$B$500,$A194,Timesheet!$C$2:$C$500,$B194))</f>
        <v/>
      </c>
      <c r="G194" s="14" t="str">
        <f>IF(OR(A194="",B194=""),"",SUMIFS(Purchases!$I$2:$I$500,Purchases!$B$2:$B$500,$A194,Purchases!$C$2:$C$500,$B194))</f>
        <v/>
      </c>
      <c r="H194" s="21" t="str">
        <f t="shared" ref="H194:H225" si="19">IF(G194="","",IF(J194="88折，滿2500再9折",ROUND(G194*L194*IF(G194&gt;=K194,M194,1),0),IF(J194="統一9折",ROUND(G194*M194,0),ROUND(G194,0))))</f>
        <v/>
      </c>
      <c r="I194" s="21" t="str">
        <f t="shared" ref="I194:I225" si="20">IF(E194="","",E194+F194-H194)</f>
        <v/>
      </c>
      <c r="J194" t="str">
        <f>IFERROR(INDEX(Employees!$C$2:$C$100,MATCH($B194,Employees!$A$2:$A$100,0)),"")</f>
        <v/>
      </c>
      <c r="K194">
        <f>IFERROR(INDEX(Employees!$D$2:$D$100,MATCH($B194,Employees!$A$2:$A$100,0)),0)</f>
        <v>0</v>
      </c>
      <c r="L194">
        <f>IFERROR(INDEX(Employees!$E$2:$E$100,MATCH($B194,Employees!$A$2:$A$100,0)),1)</f>
        <v>1</v>
      </c>
      <c r="M194">
        <f>IFERROR(INDEX(Employees!$F$2:$F$100,MATCH($B194,Employees!$A$2:$A$100,0)),1)</f>
        <v>1</v>
      </c>
    </row>
    <row r="195" spans="1:13">
      <c r="A195" s="5"/>
      <c r="B195" s="5"/>
      <c r="C195" s="13" t="str">
        <f>IF(OR(A195="",B195=""),"",SUMIFS(Timesheet!$I$2:$I$500,Timesheet!$B$2:$B$500,$A195,Timesheet!$C$2:$C$500,$B195))</f>
        <v/>
      </c>
      <c r="D195" s="14" t="str">
        <f>IF(B195="","",IFERROR(INDEX(Employees!$B$2:$B$100,MATCH($B195,Employees!$A$2:$A$100,0)),0))</f>
        <v/>
      </c>
      <c r="E195" s="21" t="str">
        <f t="shared" si="18"/>
        <v/>
      </c>
      <c r="F195" s="14" t="str">
        <f>IF(OR(A195="",B195=""),"",SUMIFS(Timesheet!$K$2:$K$500,Timesheet!$B$2:$B$500,$A195,Timesheet!$C$2:$C$500,$B195))</f>
        <v/>
      </c>
      <c r="G195" s="14" t="str">
        <f>IF(OR(A195="",B195=""),"",SUMIFS(Purchases!$I$2:$I$500,Purchases!$B$2:$B$500,$A195,Purchases!$C$2:$C$500,$B195))</f>
        <v/>
      </c>
      <c r="H195" s="21" t="str">
        <f t="shared" si="19"/>
        <v/>
      </c>
      <c r="I195" s="21" t="str">
        <f t="shared" si="20"/>
        <v/>
      </c>
      <c r="J195" t="str">
        <f>IFERROR(INDEX(Employees!$C$2:$C$100,MATCH($B195,Employees!$A$2:$A$100,0)),"")</f>
        <v/>
      </c>
      <c r="K195">
        <f>IFERROR(INDEX(Employees!$D$2:$D$100,MATCH($B195,Employees!$A$2:$A$100,0)),0)</f>
        <v>0</v>
      </c>
      <c r="L195">
        <f>IFERROR(INDEX(Employees!$E$2:$E$100,MATCH($B195,Employees!$A$2:$A$100,0)),1)</f>
        <v>1</v>
      </c>
      <c r="M195">
        <f>IFERROR(INDEX(Employees!$F$2:$F$100,MATCH($B195,Employees!$A$2:$A$100,0)),1)</f>
        <v>1</v>
      </c>
    </row>
    <row r="196" spans="1:13">
      <c r="A196" s="5"/>
      <c r="B196" s="5"/>
      <c r="C196" s="13" t="str">
        <f>IF(OR(A196="",B196=""),"",SUMIFS(Timesheet!$I$2:$I$500,Timesheet!$B$2:$B$500,$A196,Timesheet!$C$2:$C$500,$B196))</f>
        <v/>
      </c>
      <c r="D196" s="14" t="str">
        <f>IF(B196="","",IFERROR(INDEX(Employees!$B$2:$B$100,MATCH($B196,Employees!$A$2:$A$100,0)),0))</f>
        <v/>
      </c>
      <c r="E196" s="21" t="str">
        <f t="shared" si="18"/>
        <v/>
      </c>
      <c r="F196" s="14" t="str">
        <f>IF(OR(A196="",B196=""),"",SUMIFS(Timesheet!$K$2:$K$500,Timesheet!$B$2:$B$500,$A196,Timesheet!$C$2:$C$500,$B196))</f>
        <v/>
      </c>
      <c r="G196" s="14" t="str">
        <f>IF(OR(A196="",B196=""),"",SUMIFS(Purchases!$I$2:$I$500,Purchases!$B$2:$B$500,$A196,Purchases!$C$2:$C$500,$B196))</f>
        <v/>
      </c>
      <c r="H196" s="21" t="str">
        <f t="shared" si="19"/>
        <v/>
      </c>
      <c r="I196" s="21" t="str">
        <f t="shared" si="20"/>
        <v/>
      </c>
      <c r="J196" t="str">
        <f>IFERROR(INDEX(Employees!$C$2:$C$100,MATCH($B196,Employees!$A$2:$A$100,0)),"")</f>
        <v/>
      </c>
      <c r="K196">
        <f>IFERROR(INDEX(Employees!$D$2:$D$100,MATCH($B196,Employees!$A$2:$A$100,0)),0)</f>
        <v>0</v>
      </c>
      <c r="L196">
        <f>IFERROR(INDEX(Employees!$E$2:$E$100,MATCH($B196,Employees!$A$2:$A$100,0)),1)</f>
        <v>1</v>
      </c>
      <c r="M196">
        <f>IFERROR(INDEX(Employees!$F$2:$F$100,MATCH($B196,Employees!$A$2:$A$100,0)),1)</f>
        <v>1</v>
      </c>
    </row>
    <row r="197" spans="1:13">
      <c r="A197" s="5"/>
      <c r="B197" s="5"/>
      <c r="C197" s="13" t="str">
        <f>IF(OR(A197="",B197=""),"",SUMIFS(Timesheet!$I$2:$I$500,Timesheet!$B$2:$B$500,$A197,Timesheet!$C$2:$C$500,$B197))</f>
        <v/>
      </c>
      <c r="D197" s="14" t="str">
        <f>IF(B197="","",IFERROR(INDEX(Employees!$B$2:$B$100,MATCH($B197,Employees!$A$2:$A$100,0)),0))</f>
        <v/>
      </c>
      <c r="E197" s="21" t="str">
        <f t="shared" si="18"/>
        <v/>
      </c>
      <c r="F197" s="14" t="str">
        <f>IF(OR(A197="",B197=""),"",SUMIFS(Timesheet!$K$2:$K$500,Timesheet!$B$2:$B$500,$A197,Timesheet!$C$2:$C$500,$B197))</f>
        <v/>
      </c>
      <c r="G197" s="14" t="str">
        <f>IF(OR(A197="",B197=""),"",SUMIFS(Purchases!$I$2:$I$500,Purchases!$B$2:$B$500,$A197,Purchases!$C$2:$C$500,$B197))</f>
        <v/>
      </c>
      <c r="H197" s="21" t="str">
        <f t="shared" si="19"/>
        <v/>
      </c>
      <c r="I197" s="21" t="str">
        <f t="shared" si="20"/>
        <v/>
      </c>
      <c r="J197" t="str">
        <f>IFERROR(INDEX(Employees!$C$2:$C$100,MATCH($B197,Employees!$A$2:$A$100,0)),"")</f>
        <v/>
      </c>
      <c r="K197">
        <f>IFERROR(INDEX(Employees!$D$2:$D$100,MATCH($B197,Employees!$A$2:$A$100,0)),0)</f>
        <v>0</v>
      </c>
      <c r="L197">
        <f>IFERROR(INDEX(Employees!$E$2:$E$100,MATCH($B197,Employees!$A$2:$A$100,0)),1)</f>
        <v>1</v>
      </c>
      <c r="M197">
        <f>IFERROR(INDEX(Employees!$F$2:$F$100,MATCH($B197,Employees!$A$2:$A$100,0)),1)</f>
        <v>1</v>
      </c>
    </row>
    <row r="198" spans="1:13">
      <c r="A198" s="5"/>
      <c r="B198" s="5"/>
      <c r="C198" s="13" t="str">
        <f>IF(OR(A198="",B198=""),"",SUMIFS(Timesheet!$I$2:$I$500,Timesheet!$B$2:$B$500,$A198,Timesheet!$C$2:$C$500,$B198))</f>
        <v/>
      </c>
      <c r="D198" s="14" t="str">
        <f>IF(B198="","",IFERROR(INDEX(Employees!$B$2:$B$100,MATCH($B198,Employees!$A$2:$A$100,0)),0))</f>
        <v/>
      </c>
      <c r="E198" s="21" t="str">
        <f t="shared" si="18"/>
        <v/>
      </c>
      <c r="F198" s="14" t="str">
        <f>IF(OR(A198="",B198=""),"",SUMIFS(Timesheet!$K$2:$K$500,Timesheet!$B$2:$B$500,$A198,Timesheet!$C$2:$C$500,$B198))</f>
        <v/>
      </c>
      <c r="G198" s="14" t="str">
        <f>IF(OR(A198="",B198=""),"",SUMIFS(Purchases!$I$2:$I$500,Purchases!$B$2:$B$500,$A198,Purchases!$C$2:$C$500,$B198))</f>
        <v/>
      </c>
      <c r="H198" s="21" t="str">
        <f t="shared" si="19"/>
        <v/>
      </c>
      <c r="I198" s="21" t="str">
        <f t="shared" si="20"/>
        <v/>
      </c>
      <c r="J198" t="str">
        <f>IFERROR(INDEX(Employees!$C$2:$C$100,MATCH($B198,Employees!$A$2:$A$100,0)),"")</f>
        <v/>
      </c>
      <c r="K198">
        <f>IFERROR(INDEX(Employees!$D$2:$D$100,MATCH($B198,Employees!$A$2:$A$100,0)),0)</f>
        <v>0</v>
      </c>
      <c r="L198">
        <f>IFERROR(INDEX(Employees!$E$2:$E$100,MATCH($B198,Employees!$A$2:$A$100,0)),1)</f>
        <v>1</v>
      </c>
      <c r="M198">
        <f>IFERROR(INDEX(Employees!$F$2:$F$100,MATCH($B198,Employees!$A$2:$A$100,0)),1)</f>
        <v>1</v>
      </c>
    </row>
    <row r="199" spans="1:13">
      <c r="A199" s="5"/>
      <c r="B199" s="5"/>
      <c r="C199" s="13" t="str">
        <f>IF(OR(A199="",B199=""),"",SUMIFS(Timesheet!$I$2:$I$500,Timesheet!$B$2:$B$500,$A199,Timesheet!$C$2:$C$500,$B199))</f>
        <v/>
      </c>
      <c r="D199" s="14" t="str">
        <f>IF(B199="","",IFERROR(INDEX(Employees!$B$2:$B$100,MATCH($B199,Employees!$A$2:$A$100,0)),0))</f>
        <v/>
      </c>
      <c r="E199" s="21" t="str">
        <f t="shared" si="18"/>
        <v/>
      </c>
      <c r="F199" s="14" t="str">
        <f>IF(OR(A199="",B199=""),"",SUMIFS(Timesheet!$K$2:$K$500,Timesheet!$B$2:$B$500,$A199,Timesheet!$C$2:$C$500,$B199))</f>
        <v/>
      </c>
      <c r="G199" s="14" t="str">
        <f>IF(OR(A199="",B199=""),"",SUMIFS(Purchases!$I$2:$I$500,Purchases!$B$2:$B$500,$A199,Purchases!$C$2:$C$500,$B199))</f>
        <v/>
      </c>
      <c r="H199" s="21" t="str">
        <f t="shared" si="19"/>
        <v/>
      </c>
      <c r="I199" s="21" t="str">
        <f t="shared" si="20"/>
        <v/>
      </c>
      <c r="J199" t="str">
        <f>IFERROR(INDEX(Employees!$C$2:$C$100,MATCH($B199,Employees!$A$2:$A$100,0)),"")</f>
        <v/>
      </c>
      <c r="K199">
        <f>IFERROR(INDEX(Employees!$D$2:$D$100,MATCH($B199,Employees!$A$2:$A$100,0)),0)</f>
        <v>0</v>
      </c>
      <c r="L199">
        <f>IFERROR(INDEX(Employees!$E$2:$E$100,MATCH($B199,Employees!$A$2:$A$100,0)),1)</f>
        <v>1</v>
      </c>
      <c r="M199">
        <f>IFERROR(INDEX(Employees!$F$2:$F$100,MATCH($B199,Employees!$A$2:$A$100,0)),1)</f>
        <v>1</v>
      </c>
    </row>
    <row r="200" spans="1:13">
      <c r="A200" s="5"/>
      <c r="B200" s="5"/>
      <c r="C200" s="13" t="str">
        <f>IF(OR(A200="",B200=""),"",SUMIFS(Timesheet!$I$2:$I$500,Timesheet!$B$2:$B$500,$A200,Timesheet!$C$2:$C$500,$B200))</f>
        <v/>
      </c>
      <c r="D200" s="14" t="str">
        <f>IF(B200="","",IFERROR(INDEX(Employees!$B$2:$B$100,MATCH($B200,Employees!$A$2:$A$100,0)),0))</f>
        <v/>
      </c>
      <c r="E200" s="21" t="str">
        <f t="shared" si="18"/>
        <v/>
      </c>
      <c r="F200" s="14" t="str">
        <f>IF(OR(A200="",B200=""),"",SUMIFS(Timesheet!$K$2:$K$500,Timesheet!$B$2:$B$500,$A200,Timesheet!$C$2:$C$500,$B200))</f>
        <v/>
      </c>
      <c r="G200" s="14" t="str">
        <f>IF(OR(A200="",B200=""),"",SUMIFS(Purchases!$I$2:$I$500,Purchases!$B$2:$B$500,$A200,Purchases!$C$2:$C$500,$B200))</f>
        <v/>
      </c>
      <c r="H200" s="21" t="str">
        <f t="shared" si="19"/>
        <v/>
      </c>
      <c r="I200" s="21" t="str">
        <f t="shared" si="20"/>
        <v/>
      </c>
      <c r="J200" t="str">
        <f>IFERROR(INDEX(Employees!$C$2:$C$100,MATCH($B200,Employees!$A$2:$A$100,0)),"")</f>
        <v/>
      </c>
      <c r="K200">
        <f>IFERROR(INDEX(Employees!$D$2:$D$100,MATCH($B200,Employees!$A$2:$A$100,0)),0)</f>
        <v>0</v>
      </c>
      <c r="L200">
        <f>IFERROR(INDEX(Employees!$E$2:$E$100,MATCH($B200,Employees!$A$2:$A$100,0)),1)</f>
        <v>1</v>
      </c>
      <c r="M200">
        <f>IFERROR(INDEX(Employees!$F$2:$F$100,MATCH($B200,Employees!$A$2:$A$100,0)),1)</f>
        <v>1</v>
      </c>
    </row>
  </sheetData>
  <autoFilter ref="A1:I200" xr:uid="{00000000-0009-0000-0000-000006000000}"/>
  <phoneticPr fontId="11" type="noConversion"/>
  <dataValidations count="2">
    <dataValidation type="list" allowBlank="1" sqref="B2:B200" xr:uid="{00000000-0002-0000-0600-000000000000}">
      <formula1>EmployeeNames</formula1>
    </dataValidation>
    <dataValidation type="list" allowBlank="1" sqref="A2:A200" xr:uid="{00000000-0002-0000-0600-000001000000}">
      <formula1>MonthList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具名範圍</vt:lpstr>
      </vt:variant>
      <vt:variant>
        <vt:i4>3</vt:i4>
      </vt:variant>
    </vt:vector>
  </HeadingPairs>
  <TitlesOfParts>
    <vt:vector size="10" baseType="lpstr">
      <vt:lpstr>Lists</vt:lpstr>
      <vt:lpstr>Instructions</vt:lpstr>
      <vt:lpstr>Employees</vt:lpstr>
      <vt:lpstr>Timesheet</vt:lpstr>
      <vt:lpstr>Purchases</vt:lpstr>
      <vt:lpstr>Payroll Lookup</vt:lpstr>
      <vt:lpstr>Payroll Summary</vt:lpstr>
      <vt:lpstr>DiscountPolicyList</vt:lpstr>
      <vt:lpstr>EmployeeNames</vt:lpstr>
      <vt:lpstr>MonthList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乙旋 彭</cp:lastModifiedBy>
  <dcterms:created xsi:type="dcterms:W3CDTF">2026-04-04T05:41:31Z</dcterms:created>
  <dcterms:modified xsi:type="dcterms:W3CDTF">2026-04-04T06:35:18Z</dcterms:modified>
</cp:coreProperties>
</file>